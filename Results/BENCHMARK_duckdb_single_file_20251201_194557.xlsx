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emal\Desktop\IPB 1st SEM\ED\Paper_vm\Newest_Results\"/>
    </mc:Choice>
  </mc:AlternateContent>
  <xr:revisionPtr revIDLastSave="0" documentId="8_{8FBADA1A-3746-4896-A7AC-D23FF85D558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Q1_Count" sheetId="1" r:id="rId1"/>
    <sheet name="Q2_SumAvg" sheetId="2" r:id="rId2"/>
    <sheet name="Q3_YearAgg" sheetId="3" r:id="rId3"/>
    <sheet name="Q4_HourDist" sheetId="4" r:id="rId4"/>
    <sheet name="Q5_FilterComplex" sheetId="5" r:id="rId5"/>
    <sheet name="Q6_TimeRange" sheetId="6" r:id="rId6"/>
    <sheet name="Q7_PaymentType" sheetId="7" r:id="rId7"/>
    <sheet name="Q8_JoinBorough" sheetId="8" r:id="rId8"/>
    <sheet name="Q9_JoinBothZones" sheetId="9" r:id="rId9"/>
    <sheet name="Q10_FullFilter" sheetId="10" r:id="rId10"/>
    <sheet name="Q11_SortLimit" sheetId="11" r:id="rId1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8" i="11" l="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<sst xmlns="http://schemas.openxmlformats.org/spreadsheetml/2006/main" count="494" uniqueCount="83">
  <si>
    <t>query</t>
  </si>
  <si>
    <t>min_sec</t>
  </si>
  <si>
    <t>median_sec</t>
  </si>
  <si>
    <t>mean_sec</t>
  </si>
  <si>
    <t>max_sec</t>
  </si>
  <si>
    <t>std_dev_sec</t>
  </si>
  <si>
    <t>runs</t>
  </si>
  <si>
    <t>run</t>
  </si>
  <si>
    <t>duration_sec</t>
  </si>
  <si>
    <t>included_in_stats</t>
  </si>
  <si>
    <t>count_star()</t>
  </si>
  <si>
    <t>Q1_Count</t>
  </si>
  <si>
    <t>WARM-UP</t>
  </si>
  <si>
    <t>sum(total_amount)</t>
  </si>
  <si>
    <t>avg(trip_distance)</t>
  </si>
  <si>
    <t>Q2_SumAvg</t>
  </si>
  <si>
    <t>year</t>
  </si>
  <si>
    <t>trips</t>
  </si>
  <si>
    <t>revenue</t>
  </si>
  <si>
    <t>Q3_YearAgg</t>
  </si>
  <si>
    <t>hour</t>
  </si>
  <si>
    <t>Q4_HourDist</t>
  </si>
  <si>
    <t>Q5_FilterComplex</t>
  </si>
  <si>
    <t>Q6_TimeRange</t>
  </si>
  <si>
    <t>payment_type</t>
  </si>
  <si>
    <t>Q7_PaymentType</t>
  </si>
  <si>
    <t>Borough</t>
  </si>
  <si>
    <t>Q8_JoinBorough</t>
  </si>
  <si>
    <t>Manhattan</t>
  </si>
  <si>
    <t>Queens</t>
  </si>
  <si>
    <t>Unknown</t>
  </si>
  <si>
    <t>Brooklyn</t>
  </si>
  <si>
    <t>Bronx</t>
  </si>
  <si>
    <t>N/A</t>
  </si>
  <si>
    <t>EWR</t>
  </si>
  <si>
    <t>Staten Island</t>
  </si>
  <si>
    <t>pickup_zone</t>
  </si>
  <si>
    <t>dropoff_zone</t>
  </si>
  <si>
    <t>Q9_JoinBothZones</t>
  </si>
  <si>
    <t>Upper East Side South</t>
  </si>
  <si>
    <t>Upper East Side North</t>
  </si>
  <si>
    <t>Midtown Center</t>
  </si>
  <si>
    <t>Upper West Side South</t>
  </si>
  <si>
    <t>Upper West Side North</t>
  </si>
  <si>
    <t>Lincoln Square East</t>
  </si>
  <si>
    <t>Midtown East</t>
  </si>
  <si>
    <t>Lenox Hill West</t>
  </si>
  <si>
    <t>Penn Station/Madison Sq West</t>
  </si>
  <si>
    <t>Times Sq/Theatre District</t>
  </si>
  <si>
    <t>Yorkville West</t>
  </si>
  <si>
    <t>Clinton East</t>
  </si>
  <si>
    <t>East Chelsea</t>
  </si>
  <si>
    <t>JFK Airport</t>
  </si>
  <si>
    <t>Gramercy</t>
  </si>
  <si>
    <t>Murray Hill</t>
  </si>
  <si>
    <t>Union Sq</t>
  </si>
  <si>
    <t>Lenox Hill East</t>
  </si>
  <si>
    <t>Midtown South</t>
  </si>
  <si>
    <t>Yorkville East</t>
  </si>
  <si>
    <t>East Harlem South</t>
  </si>
  <si>
    <t>Airport_fee</t>
  </si>
  <si>
    <t>DOLocationID</t>
  </si>
  <si>
    <t>PULocationID</t>
  </si>
  <si>
    <t>RatecodeID</t>
  </si>
  <si>
    <t>VendorID</t>
  </si>
  <si>
    <t>airport_fee_1</t>
  </si>
  <si>
    <t>congestion_surcharge</t>
  </si>
  <si>
    <t>extra</t>
  </si>
  <si>
    <t>fare_amount</t>
  </si>
  <si>
    <t>improvement_surcharge</t>
  </si>
  <si>
    <t>mta_tax</t>
  </si>
  <si>
    <t>passenger_count</t>
  </si>
  <si>
    <t>store_and_fwd_flag</t>
  </si>
  <si>
    <t>tip_amount</t>
  </si>
  <si>
    <t>tolls_amount</t>
  </si>
  <si>
    <t>total_amount</t>
  </si>
  <si>
    <t>tpep_dropoff_datetime</t>
  </si>
  <si>
    <t>tpep_pickup_datetime</t>
  </si>
  <si>
    <t>trip_distance</t>
  </si>
  <si>
    <t>Q10_FullFilter</t>
  </si>
  <si>
    <t>N</t>
  </si>
  <si>
    <t>Y</t>
  </si>
  <si>
    <t>Q11_SortLimit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</si>
</sst>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Normal="100" workbookViewId="0">
      <selection activeCell="L3" sqref="L3"/>
    </sheetView>
  </sheetViews>
  <sheetFormatPr defaultColWidth="8.44140625" defaultRowHeight="14.4" x14ac:dyDescent="0.3"/>
  <cols>
    <col min="3" max="3" width="48.6640625" customWidth="1"/>
    <col min="6" max="6" width="42.21875" customWidth="1"/>
    <col min="11" max="11" width="16.88671875" customWidth="1"/>
    <col min="12" max="12" width="19.77734375" customWidth="1"/>
    <col min="13" max="13" width="15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10</v>
      </c>
    </row>
    <row r="2" spans="1:13" x14ac:dyDescent="0.3">
      <c r="A2" t="s">
        <v>11</v>
      </c>
      <c r="B2">
        <v>2.05361269763671E-2</v>
      </c>
      <c r="C2">
        <v>2.3206012003356601E-2</v>
      </c>
      <c r="D2">
        <v>2.3023759006589099E-2</v>
      </c>
      <c r="E2">
        <v>2.90950260241516E-2</v>
      </c>
      <c r="F2">
        <v>2.4329299135892302E-3</v>
      </c>
      <c r="G2">
        <v>15</v>
      </c>
    </row>
    <row r="4" spans="1:13" x14ac:dyDescent="0.3">
      <c r="I4" t="s">
        <v>12</v>
      </c>
      <c r="K4" t="b">
        <f>FALSE()</f>
        <v>0</v>
      </c>
    </row>
    <row r="5" spans="1:13" x14ac:dyDescent="0.3">
      <c r="I5">
        <v>2</v>
      </c>
      <c r="J5">
        <v>2.05361269763671E-2</v>
      </c>
      <c r="K5" t="b">
        <f>TRUE()</f>
        <v>1</v>
      </c>
    </row>
    <row r="6" spans="1:13" x14ac:dyDescent="0.3">
      <c r="I6">
        <v>3</v>
      </c>
      <c r="J6">
        <v>2.06944860401563E-2</v>
      </c>
      <c r="K6" t="b">
        <f>TRUE()</f>
        <v>1</v>
      </c>
    </row>
    <row r="7" spans="1:13" x14ac:dyDescent="0.3">
      <c r="I7">
        <v>4</v>
      </c>
      <c r="J7">
        <v>2.0569896034430699E-2</v>
      </c>
      <c r="K7" t="b">
        <f>TRUE()</f>
        <v>1</v>
      </c>
    </row>
    <row r="8" spans="1:13" x14ac:dyDescent="0.3">
      <c r="I8">
        <v>5</v>
      </c>
      <c r="J8">
        <v>2.06159360241145E-2</v>
      </c>
      <c r="K8" t="b">
        <f>TRUE()</f>
        <v>1</v>
      </c>
    </row>
    <row r="9" spans="1:13" x14ac:dyDescent="0.3">
      <c r="I9">
        <v>6</v>
      </c>
      <c r="J9">
        <v>2.3219797003548599E-2</v>
      </c>
      <c r="K9" t="b">
        <f>TRUE()</f>
        <v>1</v>
      </c>
    </row>
    <row r="10" spans="1:13" x14ac:dyDescent="0.3">
      <c r="I10">
        <v>7</v>
      </c>
      <c r="J10">
        <v>2.3692044953349999E-2</v>
      </c>
      <c r="K10" t="b">
        <f>TRUE()</f>
        <v>1</v>
      </c>
    </row>
    <row r="11" spans="1:13" x14ac:dyDescent="0.3">
      <c r="I11">
        <v>8</v>
      </c>
      <c r="J11">
        <v>2.31922270031646E-2</v>
      </c>
      <c r="K11" t="b">
        <f>TRUE()</f>
        <v>1</v>
      </c>
    </row>
    <row r="12" spans="1:13" x14ac:dyDescent="0.3">
      <c r="I12">
        <v>9</v>
      </c>
      <c r="J12">
        <v>2.06211759941652E-2</v>
      </c>
      <c r="K12" t="b">
        <f>TRUE()</f>
        <v>1</v>
      </c>
    </row>
    <row r="13" spans="1:13" x14ac:dyDescent="0.3">
      <c r="I13">
        <v>10</v>
      </c>
      <c r="J13">
        <v>2.38027750165202E-2</v>
      </c>
      <c r="K13" t="b">
        <f>TRUE()</f>
        <v>1</v>
      </c>
    </row>
    <row r="14" spans="1:13" x14ac:dyDescent="0.3">
      <c r="I14">
        <v>11</v>
      </c>
      <c r="J14">
        <v>2.3841254995204501E-2</v>
      </c>
      <c r="K14" t="b">
        <f>TRUE()</f>
        <v>1</v>
      </c>
    </row>
    <row r="15" spans="1:13" x14ac:dyDescent="0.3">
      <c r="I15">
        <v>12</v>
      </c>
      <c r="J15">
        <v>2.6001226971857298E-2</v>
      </c>
      <c r="K15" t="b">
        <f>TRUE()</f>
        <v>1</v>
      </c>
    </row>
    <row r="16" spans="1:13" x14ac:dyDescent="0.3">
      <c r="I16">
        <v>13</v>
      </c>
      <c r="J16">
        <v>2.90950260241516E-2</v>
      </c>
      <c r="K16" t="b">
        <f>TRUE()</f>
        <v>1</v>
      </c>
    </row>
    <row r="17" spans="9:13" x14ac:dyDescent="0.3">
      <c r="I17">
        <v>14</v>
      </c>
      <c r="J17">
        <v>2.34975360217504E-2</v>
      </c>
      <c r="K17" t="b">
        <f>TRUE()</f>
        <v>1</v>
      </c>
    </row>
    <row r="18" spans="9:13" x14ac:dyDescent="0.3">
      <c r="I18">
        <v>15</v>
      </c>
      <c r="J18">
        <v>2.29531170334667E-2</v>
      </c>
      <c r="K18" t="b">
        <f>TRUE()</f>
        <v>1</v>
      </c>
    </row>
    <row r="21" spans="9:13" x14ac:dyDescent="0.3">
      <c r="M21">
        <v>259287888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tabSelected="1" zoomScaleNormal="100" workbookViewId="0"/>
  </sheetViews>
  <sheetFormatPr defaultColWidth="8.44140625" defaultRowHeight="14.4" x14ac:dyDescent="0.3"/>
  <cols>
    <col min="3" max="3" width="25.33203125" customWidth="1"/>
    <col min="6" max="6" width="25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13</v>
      </c>
      <c r="N1" s="1" t="s">
        <v>14</v>
      </c>
    </row>
    <row r="2" spans="1:14" x14ac:dyDescent="0.3">
      <c r="A2" t="s">
        <v>15</v>
      </c>
      <c r="B2">
        <v>5.2326145130209598</v>
      </c>
      <c r="C2">
        <v>5.3789539555145902</v>
      </c>
      <c r="D2">
        <v>5.3761458337997201</v>
      </c>
      <c r="E2">
        <v>5.5647371900267899</v>
      </c>
      <c r="F2">
        <v>8.3585250901426003E-2</v>
      </c>
      <c r="G2">
        <v>15</v>
      </c>
    </row>
    <row r="4" spans="1:14" x14ac:dyDescent="0.3">
      <c r="I4" t="s">
        <v>12</v>
      </c>
      <c r="K4" t="b">
        <f>FALSE()</f>
        <v>0</v>
      </c>
    </row>
    <row r="5" spans="1:14" x14ac:dyDescent="0.3">
      <c r="I5">
        <v>2</v>
      </c>
      <c r="J5">
        <v>5.3403910830384103</v>
      </c>
      <c r="K5" t="b">
        <f>TRUE()</f>
        <v>1</v>
      </c>
    </row>
    <row r="6" spans="1:14" x14ac:dyDescent="0.3">
      <c r="I6">
        <v>3</v>
      </c>
      <c r="J6">
        <v>5.5647371900267899</v>
      </c>
      <c r="K6" t="b">
        <f>TRUE()</f>
        <v>1</v>
      </c>
    </row>
    <row r="7" spans="1:14" x14ac:dyDescent="0.3">
      <c r="I7">
        <v>4</v>
      </c>
      <c r="J7">
        <v>5.4026847920031296</v>
      </c>
      <c r="K7" t="b">
        <f>TRUE()</f>
        <v>1</v>
      </c>
    </row>
    <row r="8" spans="1:14" x14ac:dyDescent="0.3">
      <c r="I8">
        <v>5</v>
      </c>
      <c r="J8">
        <v>5.2832059190259297</v>
      </c>
      <c r="K8" t="b">
        <f>TRUE()</f>
        <v>1</v>
      </c>
    </row>
    <row r="9" spans="1:14" x14ac:dyDescent="0.3">
      <c r="I9">
        <v>6</v>
      </c>
      <c r="J9">
        <v>5.3284681590157597</v>
      </c>
      <c r="K9" t="b">
        <f>TRUE()</f>
        <v>1</v>
      </c>
    </row>
    <row r="10" spans="1:14" x14ac:dyDescent="0.3">
      <c r="I10">
        <v>7</v>
      </c>
      <c r="J10">
        <v>5.3507506399764697</v>
      </c>
      <c r="K10" t="b">
        <f>TRUE()</f>
        <v>1</v>
      </c>
    </row>
    <row r="11" spans="1:14" x14ac:dyDescent="0.3">
      <c r="I11">
        <v>8</v>
      </c>
      <c r="J11">
        <v>5.4067672720411801</v>
      </c>
      <c r="K11" t="b">
        <f>TRUE()</f>
        <v>1</v>
      </c>
    </row>
    <row r="12" spans="1:14" x14ac:dyDescent="0.3">
      <c r="I12">
        <v>9</v>
      </c>
      <c r="J12">
        <v>5.2326145130209598</v>
      </c>
      <c r="K12" t="b">
        <f>TRUE()</f>
        <v>1</v>
      </c>
    </row>
    <row r="13" spans="1:14" x14ac:dyDescent="0.3">
      <c r="I13">
        <v>10</v>
      </c>
      <c r="J13">
        <v>5.4833194600069</v>
      </c>
      <c r="K13" t="b">
        <f>TRUE()</f>
        <v>1</v>
      </c>
    </row>
    <row r="14" spans="1:14" x14ac:dyDescent="0.3">
      <c r="I14">
        <v>11</v>
      </c>
      <c r="J14">
        <v>5.3966519300011004</v>
      </c>
      <c r="K14" t="b">
        <f>TRUE()</f>
        <v>1</v>
      </c>
    </row>
    <row r="15" spans="1:14" x14ac:dyDescent="0.3">
      <c r="I15">
        <v>12</v>
      </c>
      <c r="J15">
        <v>5.3773922710097404</v>
      </c>
      <c r="K15" t="b">
        <f>TRUE()</f>
        <v>1</v>
      </c>
    </row>
    <row r="16" spans="1:14" x14ac:dyDescent="0.3">
      <c r="I16">
        <v>13</v>
      </c>
      <c r="J16">
        <v>5.38051564001944</v>
      </c>
      <c r="K16" t="b">
        <f>TRUE()</f>
        <v>1</v>
      </c>
    </row>
    <row r="17" spans="9:14" x14ac:dyDescent="0.3">
      <c r="I17">
        <v>14</v>
      </c>
      <c r="J17">
        <v>5.4212526950286701</v>
      </c>
      <c r="K17" t="b">
        <f>TRUE()</f>
        <v>1</v>
      </c>
    </row>
    <row r="18" spans="9:14" x14ac:dyDescent="0.3">
      <c r="I18">
        <v>15</v>
      </c>
      <c r="J18">
        <v>5.2972901089815396</v>
      </c>
      <c r="K18" t="b">
        <f>TRUE()</f>
        <v>1</v>
      </c>
    </row>
    <row r="21" spans="9:14" x14ac:dyDescent="0.3">
      <c r="M21">
        <v>5782068789.42523</v>
      </c>
      <c r="N21">
        <v>4.4509142517043498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zoomScaleNormal="100" workbookViewId="0"/>
  </sheetViews>
  <sheetFormatPr defaultColWidth="8.4414062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16</v>
      </c>
      <c r="N1" s="1" t="s">
        <v>17</v>
      </c>
      <c r="O1" s="1" t="s">
        <v>18</v>
      </c>
    </row>
    <row r="2" spans="1:15" x14ac:dyDescent="0.3">
      <c r="A2" t="s">
        <v>19</v>
      </c>
      <c r="B2">
        <v>10.606836349004899</v>
      </c>
      <c r="C2">
        <v>10.772148491494599</v>
      </c>
      <c r="D2">
        <v>10.8268985795023</v>
      </c>
      <c r="E2">
        <v>11.230709842988301</v>
      </c>
      <c r="F2">
        <v>0.181256178045551</v>
      </c>
      <c r="G2">
        <v>15</v>
      </c>
    </row>
    <row r="4" spans="1:15" x14ac:dyDescent="0.3">
      <c r="I4" t="s">
        <v>12</v>
      </c>
      <c r="K4" t="b">
        <f>FALSE()</f>
        <v>0</v>
      </c>
    </row>
    <row r="5" spans="1:15" x14ac:dyDescent="0.3">
      <c r="I5">
        <v>2</v>
      </c>
      <c r="J5">
        <v>10.709251713997199</v>
      </c>
      <c r="K5" t="b">
        <f>TRUE()</f>
        <v>1</v>
      </c>
    </row>
    <row r="6" spans="1:15" x14ac:dyDescent="0.3">
      <c r="I6">
        <v>3</v>
      </c>
      <c r="J6">
        <v>10.861135324987099</v>
      </c>
      <c r="K6" t="b">
        <f>TRUE()</f>
        <v>1</v>
      </c>
    </row>
    <row r="7" spans="1:15" x14ac:dyDescent="0.3">
      <c r="I7">
        <v>4</v>
      </c>
      <c r="J7">
        <v>11.028525441011899</v>
      </c>
      <c r="K7" t="b">
        <f>TRUE()</f>
        <v>1</v>
      </c>
    </row>
    <row r="8" spans="1:15" x14ac:dyDescent="0.3">
      <c r="I8">
        <v>5</v>
      </c>
      <c r="J8">
        <v>11.230709842988301</v>
      </c>
      <c r="K8" t="b">
        <f>TRUE()</f>
        <v>1</v>
      </c>
    </row>
    <row r="9" spans="1:15" x14ac:dyDescent="0.3">
      <c r="I9">
        <v>6</v>
      </c>
      <c r="J9">
        <v>11.1089355510194</v>
      </c>
      <c r="K9" t="b">
        <f>TRUE()</f>
        <v>1</v>
      </c>
    </row>
    <row r="10" spans="1:15" x14ac:dyDescent="0.3">
      <c r="I10">
        <v>7</v>
      </c>
      <c r="J10">
        <v>10.8939720310154</v>
      </c>
      <c r="K10" t="b">
        <f>TRUE()</f>
        <v>1</v>
      </c>
    </row>
    <row r="11" spans="1:15" x14ac:dyDescent="0.3">
      <c r="I11">
        <v>8</v>
      </c>
      <c r="J11">
        <v>10.677155678975399</v>
      </c>
      <c r="K11" t="b">
        <f>TRUE()</f>
        <v>1</v>
      </c>
    </row>
    <row r="12" spans="1:15" x14ac:dyDescent="0.3">
      <c r="I12">
        <v>9</v>
      </c>
      <c r="J12">
        <v>10.743694323988199</v>
      </c>
      <c r="K12" t="b">
        <f>TRUE()</f>
        <v>1</v>
      </c>
    </row>
    <row r="13" spans="1:15" x14ac:dyDescent="0.3">
      <c r="I13">
        <v>10</v>
      </c>
      <c r="J13">
        <v>10.7099021290196</v>
      </c>
      <c r="K13" t="b">
        <f>TRUE()</f>
        <v>1</v>
      </c>
    </row>
    <row r="14" spans="1:15" x14ac:dyDescent="0.3">
      <c r="I14">
        <v>11</v>
      </c>
      <c r="J14">
        <v>10.606836349004899</v>
      </c>
      <c r="K14" t="b">
        <f>TRUE()</f>
        <v>1</v>
      </c>
    </row>
    <row r="15" spans="1:15" x14ac:dyDescent="0.3">
      <c r="I15">
        <v>12</v>
      </c>
      <c r="J15">
        <v>10.7152410850395</v>
      </c>
      <c r="K15" t="b">
        <f>TRUE()</f>
        <v>1</v>
      </c>
    </row>
    <row r="16" spans="1:15" x14ac:dyDescent="0.3">
      <c r="I16">
        <v>13</v>
      </c>
      <c r="J16">
        <v>10.801841398002599</v>
      </c>
      <c r="K16" t="b">
        <f>TRUE()</f>
        <v>1</v>
      </c>
    </row>
    <row r="17" spans="9:15" x14ac:dyDescent="0.3">
      <c r="I17">
        <v>14</v>
      </c>
      <c r="J17">
        <v>10.688776584982399</v>
      </c>
      <c r="K17" t="b">
        <f>TRUE()</f>
        <v>1</v>
      </c>
    </row>
    <row r="18" spans="9:15" x14ac:dyDescent="0.3">
      <c r="I18">
        <v>15</v>
      </c>
      <c r="J18">
        <v>10.800602659000999</v>
      </c>
      <c r="K18" t="b">
        <f>TRUE()</f>
        <v>1</v>
      </c>
    </row>
    <row r="21" spans="9:15" x14ac:dyDescent="0.3">
      <c r="M21">
        <v>2001</v>
      </c>
      <c r="N21">
        <v>15</v>
      </c>
      <c r="O21">
        <v>532.66</v>
      </c>
    </row>
    <row r="22" spans="9:15" x14ac:dyDescent="0.3">
      <c r="M22">
        <v>2002</v>
      </c>
      <c r="N22">
        <v>478</v>
      </c>
      <c r="O22">
        <v>12520.36</v>
      </c>
    </row>
    <row r="23" spans="9:15" x14ac:dyDescent="0.3">
      <c r="M23">
        <v>2003</v>
      </c>
      <c r="N23">
        <v>33</v>
      </c>
      <c r="O23">
        <v>861.59</v>
      </c>
    </row>
    <row r="24" spans="9:15" x14ac:dyDescent="0.3">
      <c r="M24">
        <v>2004</v>
      </c>
      <c r="N24">
        <v>1</v>
      </c>
      <c r="O24">
        <v>12.3</v>
      </c>
    </row>
    <row r="25" spans="9:15" x14ac:dyDescent="0.3">
      <c r="M25">
        <v>2008</v>
      </c>
      <c r="N25">
        <v>387</v>
      </c>
      <c r="O25">
        <v>9448.9000000000306</v>
      </c>
    </row>
    <row r="26" spans="9:15" x14ac:dyDescent="0.3">
      <c r="M26">
        <v>2009</v>
      </c>
      <c r="N26">
        <v>768</v>
      </c>
      <c r="O26">
        <v>15788.5999999999</v>
      </c>
    </row>
    <row r="27" spans="9:15" x14ac:dyDescent="0.3">
      <c r="M27">
        <v>2010</v>
      </c>
      <c r="N27">
        <v>1</v>
      </c>
      <c r="O27">
        <v>18.36</v>
      </c>
    </row>
    <row r="28" spans="9:15" x14ac:dyDescent="0.3">
      <c r="M28">
        <v>2011</v>
      </c>
      <c r="N28">
        <v>4</v>
      </c>
      <c r="O28">
        <v>55.56</v>
      </c>
    </row>
    <row r="29" spans="9:15" x14ac:dyDescent="0.3">
      <c r="M29">
        <v>2012</v>
      </c>
      <c r="N29">
        <v>1</v>
      </c>
      <c r="O29">
        <v>0</v>
      </c>
    </row>
    <row r="30" spans="9:15" x14ac:dyDescent="0.3">
      <c r="M30">
        <v>2014</v>
      </c>
      <c r="N30">
        <v>1</v>
      </c>
      <c r="O30">
        <v>52.38</v>
      </c>
    </row>
    <row r="31" spans="9:15" x14ac:dyDescent="0.3">
      <c r="M31">
        <v>2015</v>
      </c>
      <c r="N31">
        <v>1</v>
      </c>
      <c r="O31">
        <v>0</v>
      </c>
    </row>
    <row r="32" spans="9:15" x14ac:dyDescent="0.3">
      <c r="M32">
        <v>2018</v>
      </c>
      <c r="N32">
        <v>366</v>
      </c>
      <c r="O32">
        <v>7077.1500000000196</v>
      </c>
    </row>
    <row r="33" spans="13:15" x14ac:dyDescent="0.3">
      <c r="M33">
        <v>2019</v>
      </c>
      <c r="N33">
        <v>84597133</v>
      </c>
      <c r="O33">
        <v>1623612165.2404599</v>
      </c>
    </row>
    <row r="34" spans="13:15" x14ac:dyDescent="0.3">
      <c r="M34">
        <v>2020</v>
      </c>
      <c r="N34">
        <v>24649256</v>
      </c>
      <c r="O34">
        <v>454082727.63793802</v>
      </c>
    </row>
    <row r="35" spans="13:15" x14ac:dyDescent="0.3">
      <c r="M35">
        <v>2021</v>
      </c>
      <c r="N35">
        <v>30903982</v>
      </c>
      <c r="O35">
        <v>608694768.07226503</v>
      </c>
    </row>
    <row r="36" spans="13:15" x14ac:dyDescent="0.3">
      <c r="M36">
        <v>2022</v>
      </c>
      <c r="N36">
        <v>39655622</v>
      </c>
      <c r="O36">
        <v>859385616.29170299</v>
      </c>
    </row>
    <row r="37" spans="13:15" x14ac:dyDescent="0.3">
      <c r="M37">
        <v>2023</v>
      </c>
      <c r="N37">
        <v>38310138</v>
      </c>
      <c r="O37">
        <v>1090379118.6386001</v>
      </c>
    </row>
    <row r="38" spans="13:15" x14ac:dyDescent="0.3">
      <c r="M38">
        <v>2024</v>
      </c>
      <c r="N38">
        <v>41169670</v>
      </c>
      <c r="O38">
        <v>1145867291.7710199</v>
      </c>
    </row>
    <row r="39" spans="13:15" x14ac:dyDescent="0.3">
      <c r="M39">
        <v>2025</v>
      </c>
      <c r="N39">
        <v>5</v>
      </c>
      <c r="O39">
        <v>164.45</v>
      </c>
    </row>
    <row r="40" spans="13:15" x14ac:dyDescent="0.3">
      <c r="M40">
        <v>2026</v>
      </c>
      <c r="N40">
        <v>3</v>
      </c>
      <c r="O40">
        <v>141.87</v>
      </c>
    </row>
    <row r="41" spans="13:15" x14ac:dyDescent="0.3">
      <c r="M41">
        <v>2028</v>
      </c>
      <c r="N41">
        <v>1</v>
      </c>
      <c r="O41">
        <v>63.1</v>
      </c>
    </row>
    <row r="42" spans="13:15" x14ac:dyDescent="0.3">
      <c r="M42">
        <v>2029</v>
      </c>
      <c r="N42">
        <v>5</v>
      </c>
      <c r="O42">
        <v>66.66</v>
      </c>
    </row>
    <row r="43" spans="13:15" x14ac:dyDescent="0.3">
      <c r="M43">
        <v>2033</v>
      </c>
      <c r="N43">
        <v>3</v>
      </c>
      <c r="O43">
        <v>26.4</v>
      </c>
    </row>
    <row r="44" spans="13:15" x14ac:dyDescent="0.3">
      <c r="M44">
        <v>2038</v>
      </c>
      <c r="N44">
        <v>4</v>
      </c>
      <c r="O44">
        <v>48.26</v>
      </c>
    </row>
    <row r="45" spans="13:15" x14ac:dyDescent="0.3">
      <c r="M45">
        <v>2041</v>
      </c>
      <c r="N45">
        <v>1</v>
      </c>
      <c r="O45">
        <v>15.8</v>
      </c>
    </row>
    <row r="46" spans="13:15" x14ac:dyDescent="0.3">
      <c r="M46">
        <v>2058</v>
      </c>
      <c r="N46">
        <v>3</v>
      </c>
      <c r="O46">
        <v>34.17</v>
      </c>
    </row>
    <row r="47" spans="13:15" x14ac:dyDescent="0.3">
      <c r="M47">
        <v>2066</v>
      </c>
      <c r="N47">
        <v>1</v>
      </c>
      <c r="O47">
        <v>61.42</v>
      </c>
    </row>
    <row r="48" spans="13:15" x14ac:dyDescent="0.3">
      <c r="M48">
        <v>2070</v>
      </c>
      <c r="N48">
        <v>1</v>
      </c>
      <c r="O48">
        <v>0</v>
      </c>
    </row>
    <row r="49" spans="13:15" x14ac:dyDescent="0.3">
      <c r="M49">
        <v>2088</v>
      </c>
      <c r="N49">
        <v>2</v>
      </c>
      <c r="O49">
        <v>20.6</v>
      </c>
    </row>
    <row r="50" spans="13:15" x14ac:dyDescent="0.3">
      <c r="M50">
        <v>2090</v>
      </c>
      <c r="N50">
        <v>1</v>
      </c>
      <c r="O50">
        <v>61.42</v>
      </c>
    </row>
    <row r="51" spans="13:15" x14ac:dyDescent="0.3">
      <c r="M51">
        <v>2098</v>
      </c>
      <c r="N51">
        <v>1</v>
      </c>
      <c r="O51">
        <v>25.8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4"/>
  <sheetViews>
    <sheetView zoomScaleNormal="100" workbookViewId="0"/>
  </sheetViews>
  <sheetFormatPr defaultColWidth="8.4414062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20</v>
      </c>
      <c r="N1" s="1" t="s">
        <v>17</v>
      </c>
    </row>
    <row r="2" spans="1:14" x14ac:dyDescent="0.3">
      <c r="A2" t="s">
        <v>21</v>
      </c>
      <c r="B2">
        <v>8.9195126250269805</v>
      </c>
      <c r="C2">
        <v>9.1304479289974605</v>
      </c>
      <c r="D2">
        <v>9.12357100614879</v>
      </c>
      <c r="E2">
        <v>9.2692787630367093</v>
      </c>
      <c r="F2">
        <v>0.117617765013178</v>
      </c>
      <c r="G2">
        <v>15</v>
      </c>
    </row>
    <row r="4" spans="1:14" x14ac:dyDescent="0.3">
      <c r="I4" t="s">
        <v>12</v>
      </c>
      <c r="K4" t="b">
        <f>FALSE()</f>
        <v>0</v>
      </c>
    </row>
    <row r="5" spans="1:14" x14ac:dyDescent="0.3">
      <c r="I5">
        <v>2</v>
      </c>
      <c r="J5">
        <v>8.9740058389725199</v>
      </c>
      <c r="K5" t="b">
        <f>TRUE()</f>
        <v>1</v>
      </c>
    </row>
    <row r="6" spans="1:14" x14ac:dyDescent="0.3">
      <c r="I6">
        <v>3</v>
      </c>
      <c r="J6">
        <v>9.0507474669720995</v>
      </c>
      <c r="K6" t="b">
        <f>TRUE()</f>
        <v>1</v>
      </c>
    </row>
    <row r="7" spans="1:14" x14ac:dyDescent="0.3">
      <c r="I7">
        <v>4</v>
      </c>
      <c r="J7">
        <v>9.2105864590266702</v>
      </c>
      <c r="K7" t="b">
        <f>TRUE()</f>
        <v>1</v>
      </c>
    </row>
    <row r="8" spans="1:14" x14ac:dyDescent="0.3">
      <c r="I8">
        <v>5</v>
      </c>
      <c r="J8">
        <v>8.9800501230056398</v>
      </c>
      <c r="K8" t="b">
        <f>TRUE()</f>
        <v>1</v>
      </c>
    </row>
    <row r="9" spans="1:14" x14ac:dyDescent="0.3">
      <c r="I9">
        <v>6</v>
      </c>
      <c r="J9">
        <v>9.2577541940263508</v>
      </c>
      <c r="K9" t="b">
        <f>TRUE()</f>
        <v>1</v>
      </c>
    </row>
    <row r="10" spans="1:14" x14ac:dyDescent="0.3">
      <c r="I10">
        <v>7</v>
      </c>
      <c r="J10">
        <v>9.2431002579978703</v>
      </c>
      <c r="K10" t="b">
        <f>TRUE()</f>
        <v>1</v>
      </c>
    </row>
    <row r="11" spans="1:14" x14ac:dyDescent="0.3">
      <c r="I11">
        <v>8</v>
      </c>
      <c r="J11">
        <v>9.1743137669982406</v>
      </c>
      <c r="K11" t="b">
        <f>TRUE()</f>
        <v>1</v>
      </c>
    </row>
    <row r="12" spans="1:14" x14ac:dyDescent="0.3">
      <c r="I12">
        <v>9</v>
      </c>
      <c r="J12">
        <v>9.0550110620097293</v>
      </c>
      <c r="K12" t="b">
        <f>TRUE()</f>
        <v>1</v>
      </c>
    </row>
    <row r="13" spans="1:14" x14ac:dyDescent="0.3">
      <c r="I13">
        <v>10</v>
      </c>
      <c r="J13">
        <v>9.0938020559842698</v>
      </c>
      <c r="K13" t="b">
        <f>TRUE()</f>
        <v>1</v>
      </c>
    </row>
    <row r="14" spans="1:14" x14ac:dyDescent="0.3">
      <c r="I14">
        <v>11</v>
      </c>
      <c r="J14">
        <v>9.2692787630367093</v>
      </c>
      <c r="K14" t="b">
        <f>TRUE()</f>
        <v>1</v>
      </c>
    </row>
    <row r="15" spans="1:14" x14ac:dyDescent="0.3">
      <c r="I15">
        <v>12</v>
      </c>
      <c r="J15">
        <v>9.2538069680449606</v>
      </c>
      <c r="K15" t="b">
        <f>TRUE()</f>
        <v>1</v>
      </c>
    </row>
    <row r="16" spans="1:14" x14ac:dyDescent="0.3">
      <c r="I16">
        <v>13</v>
      </c>
      <c r="J16">
        <v>9.1670938020106405</v>
      </c>
      <c r="K16" t="b">
        <f>TRUE()</f>
        <v>1</v>
      </c>
    </row>
    <row r="17" spans="9:14" x14ac:dyDescent="0.3">
      <c r="I17">
        <v>14</v>
      </c>
      <c r="J17">
        <v>8.9195126250269805</v>
      </c>
      <c r="K17" t="b">
        <f>TRUE()</f>
        <v>1</v>
      </c>
    </row>
    <row r="18" spans="9:14" x14ac:dyDescent="0.3">
      <c r="I18">
        <v>15</v>
      </c>
      <c r="J18">
        <v>9.0809307029703596</v>
      </c>
      <c r="K18" t="b">
        <f>TRUE()</f>
        <v>1</v>
      </c>
    </row>
    <row r="21" spans="9:14" x14ac:dyDescent="0.3">
      <c r="M21">
        <v>0</v>
      </c>
      <c r="N21">
        <v>7108910</v>
      </c>
    </row>
    <row r="22" spans="9:14" x14ac:dyDescent="0.3">
      <c r="M22">
        <v>1</v>
      </c>
      <c r="N22">
        <v>4781962</v>
      </c>
    </row>
    <row r="23" spans="9:14" x14ac:dyDescent="0.3">
      <c r="M23">
        <v>2</v>
      </c>
      <c r="N23">
        <v>3216797</v>
      </c>
    </row>
    <row r="24" spans="9:14" x14ac:dyDescent="0.3">
      <c r="M24">
        <v>3</v>
      </c>
      <c r="N24">
        <v>2185736</v>
      </c>
    </row>
    <row r="25" spans="9:14" x14ac:dyDescent="0.3">
      <c r="M25">
        <v>4</v>
      </c>
      <c r="N25">
        <v>1634118</v>
      </c>
    </row>
    <row r="26" spans="9:14" x14ac:dyDescent="0.3">
      <c r="M26">
        <v>5</v>
      </c>
      <c r="N26">
        <v>1908354</v>
      </c>
    </row>
    <row r="27" spans="9:14" x14ac:dyDescent="0.3">
      <c r="M27">
        <v>6</v>
      </c>
      <c r="N27">
        <v>4494884</v>
      </c>
    </row>
    <row r="28" spans="9:14" x14ac:dyDescent="0.3">
      <c r="M28">
        <v>7</v>
      </c>
      <c r="N28">
        <v>8187990</v>
      </c>
    </row>
    <row r="29" spans="9:14" x14ac:dyDescent="0.3">
      <c r="M29">
        <v>8</v>
      </c>
      <c r="N29">
        <v>10797156</v>
      </c>
    </row>
    <row r="30" spans="9:14" x14ac:dyDescent="0.3">
      <c r="M30">
        <v>9</v>
      </c>
      <c r="N30">
        <v>11590942</v>
      </c>
    </row>
    <row r="31" spans="9:14" x14ac:dyDescent="0.3">
      <c r="M31">
        <v>10</v>
      </c>
      <c r="N31">
        <v>12284276</v>
      </c>
    </row>
    <row r="32" spans="9:14" x14ac:dyDescent="0.3">
      <c r="M32">
        <v>11</v>
      </c>
      <c r="N32">
        <v>13187250</v>
      </c>
    </row>
    <row r="33" spans="13:14" x14ac:dyDescent="0.3">
      <c r="M33">
        <v>12</v>
      </c>
      <c r="N33">
        <v>14247548</v>
      </c>
    </row>
    <row r="34" spans="13:14" x14ac:dyDescent="0.3">
      <c r="M34">
        <v>13</v>
      </c>
      <c r="N34">
        <v>14590203</v>
      </c>
    </row>
    <row r="35" spans="13:14" x14ac:dyDescent="0.3">
      <c r="M35">
        <v>14</v>
      </c>
      <c r="N35">
        <v>15550582</v>
      </c>
    </row>
    <row r="36" spans="13:14" x14ac:dyDescent="0.3">
      <c r="M36">
        <v>15</v>
      </c>
      <c r="N36">
        <v>15843419</v>
      </c>
    </row>
    <row r="37" spans="13:14" x14ac:dyDescent="0.3">
      <c r="M37">
        <v>16</v>
      </c>
      <c r="N37">
        <v>15447370</v>
      </c>
    </row>
    <row r="38" spans="13:14" x14ac:dyDescent="0.3">
      <c r="M38">
        <v>17</v>
      </c>
      <c r="N38">
        <v>16913342</v>
      </c>
    </row>
    <row r="39" spans="13:14" x14ac:dyDescent="0.3">
      <c r="M39">
        <v>18</v>
      </c>
      <c r="N39">
        <v>17904625</v>
      </c>
    </row>
    <row r="40" spans="13:14" x14ac:dyDescent="0.3">
      <c r="M40">
        <v>19</v>
      </c>
      <c r="N40">
        <v>16188052</v>
      </c>
    </row>
    <row r="41" spans="13:14" x14ac:dyDescent="0.3">
      <c r="M41">
        <v>20</v>
      </c>
      <c r="N41">
        <v>14267494</v>
      </c>
    </row>
    <row r="42" spans="13:14" x14ac:dyDescent="0.3">
      <c r="M42">
        <v>21</v>
      </c>
      <c r="N42">
        <v>13944136</v>
      </c>
    </row>
    <row r="43" spans="13:14" x14ac:dyDescent="0.3">
      <c r="M43">
        <v>22</v>
      </c>
      <c r="N43">
        <v>12862812</v>
      </c>
    </row>
    <row r="44" spans="13:14" x14ac:dyDescent="0.3">
      <c r="M44">
        <v>23</v>
      </c>
      <c r="N44">
        <v>10149930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zoomScaleNormal="100" workbookViewId="0"/>
  </sheetViews>
  <sheetFormatPr defaultColWidth="8.4414062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10</v>
      </c>
    </row>
    <row r="2" spans="1:13" x14ac:dyDescent="0.3">
      <c r="A2" t="s">
        <v>22</v>
      </c>
      <c r="B2">
        <v>5.8859218360157701</v>
      </c>
      <c r="C2">
        <v>6.0111763349850698</v>
      </c>
      <c r="D2">
        <v>6.0152051448697303</v>
      </c>
      <c r="E2">
        <v>6.2161799320019799</v>
      </c>
      <c r="F2">
        <v>9.8738854437265294E-2</v>
      </c>
      <c r="G2">
        <v>15</v>
      </c>
    </row>
    <row r="4" spans="1:13" x14ac:dyDescent="0.3">
      <c r="I4" t="s">
        <v>12</v>
      </c>
      <c r="K4" t="b">
        <f>FALSE()</f>
        <v>0</v>
      </c>
    </row>
    <row r="5" spans="1:13" x14ac:dyDescent="0.3">
      <c r="I5">
        <v>2</v>
      </c>
      <c r="J5">
        <v>6.0925801690318604</v>
      </c>
      <c r="K5" t="b">
        <f>TRUE()</f>
        <v>1</v>
      </c>
    </row>
    <row r="6" spans="1:13" x14ac:dyDescent="0.3">
      <c r="I6">
        <v>3</v>
      </c>
      <c r="J6">
        <v>6.0524730120086998</v>
      </c>
      <c r="K6" t="b">
        <f>TRUE()</f>
        <v>1</v>
      </c>
    </row>
    <row r="7" spans="1:13" x14ac:dyDescent="0.3">
      <c r="I7">
        <v>4</v>
      </c>
      <c r="J7">
        <v>6.1618026620126303</v>
      </c>
      <c r="K7" t="b">
        <f>TRUE()</f>
        <v>1</v>
      </c>
    </row>
    <row r="8" spans="1:13" x14ac:dyDescent="0.3">
      <c r="I8">
        <v>5</v>
      </c>
      <c r="J8">
        <v>5.9623247830313604</v>
      </c>
      <c r="K8" t="b">
        <f>TRUE()</f>
        <v>1</v>
      </c>
    </row>
    <row r="9" spans="1:13" x14ac:dyDescent="0.3">
      <c r="I9">
        <v>6</v>
      </c>
      <c r="J9">
        <v>5.8859218360157701</v>
      </c>
      <c r="K9" t="b">
        <f>TRUE()</f>
        <v>1</v>
      </c>
    </row>
    <row r="10" spans="1:13" x14ac:dyDescent="0.3">
      <c r="I10">
        <v>7</v>
      </c>
      <c r="J10">
        <v>5.9314126709941801</v>
      </c>
      <c r="K10" t="b">
        <f>TRUE()</f>
        <v>1</v>
      </c>
    </row>
    <row r="11" spans="1:13" x14ac:dyDescent="0.3">
      <c r="I11">
        <v>8</v>
      </c>
      <c r="J11">
        <v>6.2161799320019799</v>
      </c>
      <c r="K11" t="b">
        <f>TRUE()</f>
        <v>1</v>
      </c>
    </row>
    <row r="12" spans="1:13" x14ac:dyDescent="0.3">
      <c r="I12">
        <v>9</v>
      </c>
      <c r="J12">
        <v>6.0115963469725102</v>
      </c>
      <c r="K12" t="b">
        <f>TRUE()</f>
        <v>1</v>
      </c>
    </row>
    <row r="13" spans="1:13" x14ac:dyDescent="0.3">
      <c r="I13">
        <v>10</v>
      </c>
      <c r="J13">
        <v>6.0332457690383299</v>
      </c>
      <c r="K13" t="b">
        <f>TRUE()</f>
        <v>1</v>
      </c>
    </row>
    <row r="14" spans="1:13" x14ac:dyDescent="0.3">
      <c r="I14">
        <v>11</v>
      </c>
      <c r="J14">
        <v>6.0823817800264797</v>
      </c>
      <c r="K14" t="b">
        <f>TRUE()</f>
        <v>1</v>
      </c>
    </row>
    <row r="15" spans="1:13" x14ac:dyDescent="0.3">
      <c r="I15">
        <v>12</v>
      </c>
      <c r="J15">
        <v>6.0107563229976204</v>
      </c>
      <c r="K15" t="b">
        <f>TRUE()</f>
        <v>1</v>
      </c>
    </row>
    <row r="16" spans="1:13" x14ac:dyDescent="0.3">
      <c r="I16">
        <v>13</v>
      </c>
      <c r="J16">
        <v>5.9083788749994701</v>
      </c>
      <c r="K16" t="b">
        <f>TRUE()</f>
        <v>1</v>
      </c>
    </row>
    <row r="17" spans="9:13" x14ac:dyDescent="0.3">
      <c r="I17">
        <v>14</v>
      </c>
      <c r="J17">
        <v>5.9518234780407502</v>
      </c>
      <c r="K17" t="b">
        <f>TRUE()</f>
        <v>1</v>
      </c>
    </row>
    <row r="18" spans="9:13" x14ac:dyDescent="0.3">
      <c r="I18">
        <v>15</v>
      </c>
      <c r="J18">
        <v>5.9119943910045603</v>
      </c>
      <c r="K18" t="b">
        <f>TRUE()</f>
        <v>1</v>
      </c>
    </row>
    <row r="21" spans="9:13" x14ac:dyDescent="0.3">
      <c r="M21">
        <v>549820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"/>
  <sheetViews>
    <sheetView zoomScaleNormal="100" workbookViewId="0"/>
  </sheetViews>
  <sheetFormatPr defaultColWidth="8.4414062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10</v>
      </c>
    </row>
    <row r="2" spans="1:13" x14ac:dyDescent="0.3">
      <c r="A2" t="s">
        <v>23</v>
      </c>
      <c r="B2">
        <v>3.1657566959620498</v>
      </c>
      <c r="C2">
        <v>3.20234365249053</v>
      </c>
      <c r="D2">
        <v>3.2183009563596001</v>
      </c>
      <c r="E2">
        <v>3.29843078600243</v>
      </c>
      <c r="F2">
        <v>4.6883689487804199E-2</v>
      </c>
      <c r="G2">
        <v>15</v>
      </c>
    </row>
    <row r="4" spans="1:13" x14ac:dyDescent="0.3">
      <c r="I4" t="s">
        <v>12</v>
      </c>
      <c r="K4" t="b">
        <f>FALSE()</f>
        <v>0</v>
      </c>
    </row>
    <row r="5" spans="1:13" x14ac:dyDescent="0.3">
      <c r="I5">
        <v>2</v>
      </c>
      <c r="J5">
        <v>3.1904318150482101</v>
      </c>
      <c r="K5" t="b">
        <f>TRUE()</f>
        <v>1</v>
      </c>
    </row>
    <row r="6" spans="1:13" x14ac:dyDescent="0.3">
      <c r="I6">
        <v>3</v>
      </c>
      <c r="J6">
        <v>3.1898879139916998</v>
      </c>
      <c r="K6" t="b">
        <f>TRUE()</f>
        <v>1</v>
      </c>
    </row>
    <row r="7" spans="1:13" x14ac:dyDescent="0.3">
      <c r="I7">
        <v>4</v>
      </c>
      <c r="J7">
        <v>3.1657566959620498</v>
      </c>
      <c r="K7" t="b">
        <f>TRUE()</f>
        <v>1</v>
      </c>
    </row>
    <row r="8" spans="1:13" x14ac:dyDescent="0.3">
      <c r="I8">
        <v>5</v>
      </c>
      <c r="J8">
        <v>3.1666307979612598</v>
      </c>
      <c r="K8" t="b">
        <f>TRUE()</f>
        <v>1</v>
      </c>
    </row>
    <row r="9" spans="1:13" x14ac:dyDescent="0.3">
      <c r="I9">
        <v>6</v>
      </c>
      <c r="J9">
        <v>3.2109357009758202</v>
      </c>
      <c r="K9" t="b">
        <f>TRUE()</f>
        <v>1</v>
      </c>
    </row>
    <row r="10" spans="1:13" x14ac:dyDescent="0.3">
      <c r="I10">
        <v>7</v>
      </c>
      <c r="J10">
        <v>3.2553501430084002</v>
      </c>
      <c r="K10" t="b">
        <f>TRUE()</f>
        <v>1</v>
      </c>
    </row>
    <row r="11" spans="1:13" x14ac:dyDescent="0.3">
      <c r="I11">
        <v>8</v>
      </c>
      <c r="J11">
        <v>3.2414142250199802</v>
      </c>
      <c r="K11" t="b">
        <f>TRUE()</f>
        <v>1</v>
      </c>
    </row>
    <row r="12" spans="1:13" x14ac:dyDescent="0.3">
      <c r="I12">
        <v>9</v>
      </c>
      <c r="J12">
        <v>3.2755559990182501</v>
      </c>
      <c r="K12" t="b">
        <f>TRUE()</f>
        <v>1</v>
      </c>
    </row>
    <row r="13" spans="1:13" x14ac:dyDescent="0.3">
      <c r="I13">
        <v>10</v>
      </c>
      <c r="J13">
        <v>3.29843078600243</v>
      </c>
      <c r="K13" t="b">
        <f>TRUE()</f>
        <v>1</v>
      </c>
    </row>
    <row r="14" spans="1:13" x14ac:dyDescent="0.3">
      <c r="I14">
        <v>11</v>
      </c>
      <c r="J14">
        <v>3.28435966704274</v>
      </c>
      <c r="K14" t="b">
        <f>TRUE()</f>
        <v>1</v>
      </c>
    </row>
    <row r="15" spans="1:13" x14ac:dyDescent="0.3">
      <c r="I15">
        <v>12</v>
      </c>
      <c r="J15">
        <v>3.24107557500247</v>
      </c>
      <c r="K15" t="b">
        <f>TRUE()</f>
        <v>1</v>
      </c>
    </row>
    <row r="16" spans="1:13" x14ac:dyDescent="0.3">
      <c r="I16">
        <v>13</v>
      </c>
      <c r="J16">
        <v>3.17112616699887</v>
      </c>
      <c r="K16" t="b">
        <f>TRUE()</f>
        <v>1</v>
      </c>
    </row>
    <row r="17" spans="9:13" x14ac:dyDescent="0.3">
      <c r="I17">
        <v>14</v>
      </c>
      <c r="J17">
        <v>3.1937516040052301</v>
      </c>
      <c r="K17" t="b">
        <f>TRUE()</f>
        <v>1</v>
      </c>
    </row>
    <row r="18" spans="9:13" x14ac:dyDescent="0.3">
      <c r="I18">
        <v>15</v>
      </c>
      <c r="J18">
        <v>3.1715062989969698</v>
      </c>
      <c r="K18" t="b">
        <f>TRUE()</f>
        <v>1</v>
      </c>
    </row>
    <row r="21" spans="9:13" x14ac:dyDescent="0.3">
      <c r="M21">
        <v>524673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zoomScaleNormal="100" workbookViewId="0"/>
  </sheetViews>
  <sheetFormatPr defaultColWidth="8.4414062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24</v>
      </c>
      <c r="N1" s="1" t="s">
        <v>10</v>
      </c>
    </row>
    <row r="2" spans="1:14" x14ac:dyDescent="0.3">
      <c r="A2" t="s">
        <v>25</v>
      </c>
      <c r="B2">
        <v>2.4646177460090302</v>
      </c>
      <c r="C2">
        <v>2.4767441934964198</v>
      </c>
      <c r="D2">
        <v>2.4802345724227601</v>
      </c>
      <c r="E2">
        <v>2.5003712780308001</v>
      </c>
      <c r="F2">
        <v>1.17479904705142E-2</v>
      </c>
      <c r="G2">
        <v>15</v>
      </c>
    </row>
    <row r="4" spans="1:14" x14ac:dyDescent="0.3">
      <c r="I4" t="s">
        <v>12</v>
      </c>
      <c r="K4" t="b">
        <f>FALSE()</f>
        <v>0</v>
      </c>
    </row>
    <row r="5" spans="1:14" x14ac:dyDescent="0.3">
      <c r="I5">
        <v>2</v>
      </c>
      <c r="J5">
        <v>2.4684407989843802</v>
      </c>
      <c r="K5" t="b">
        <f>TRUE()</f>
        <v>1</v>
      </c>
    </row>
    <row r="6" spans="1:14" x14ac:dyDescent="0.3">
      <c r="I6">
        <v>3</v>
      </c>
      <c r="J6">
        <v>2.4681073139654499</v>
      </c>
      <c r="K6" t="b">
        <f>TRUE()</f>
        <v>1</v>
      </c>
    </row>
    <row r="7" spans="1:14" x14ac:dyDescent="0.3">
      <c r="I7">
        <v>4</v>
      </c>
      <c r="J7">
        <v>2.4977294430136698</v>
      </c>
      <c r="K7" t="b">
        <f>TRUE()</f>
        <v>1</v>
      </c>
    </row>
    <row r="8" spans="1:14" x14ac:dyDescent="0.3">
      <c r="I8">
        <v>5</v>
      </c>
      <c r="J8">
        <v>2.4886755219777101</v>
      </c>
      <c r="K8" t="b">
        <f>TRUE()</f>
        <v>1</v>
      </c>
    </row>
    <row r="9" spans="1:14" x14ac:dyDescent="0.3">
      <c r="I9">
        <v>6</v>
      </c>
      <c r="J9">
        <v>2.4697037099977002</v>
      </c>
      <c r="K9" t="b">
        <f>TRUE()</f>
        <v>1</v>
      </c>
    </row>
    <row r="10" spans="1:14" x14ac:dyDescent="0.3">
      <c r="I10">
        <v>7</v>
      </c>
      <c r="J10">
        <v>2.4877377430093501</v>
      </c>
      <c r="K10" t="b">
        <f>TRUE()</f>
        <v>1</v>
      </c>
    </row>
    <row r="11" spans="1:14" x14ac:dyDescent="0.3">
      <c r="I11">
        <v>8</v>
      </c>
      <c r="J11">
        <v>2.5003712780308001</v>
      </c>
      <c r="K11" t="b">
        <f>TRUE()</f>
        <v>1</v>
      </c>
    </row>
    <row r="12" spans="1:14" x14ac:dyDescent="0.3">
      <c r="I12">
        <v>9</v>
      </c>
      <c r="J12">
        <v>2.48842336900998</v>
      </c>
      <c r="K12" t="b">
        <f>TRUE()</f>
        <v>1</v>
      </c>
    </row>
    <row r="13" spans="1:14" x14ac:dyDescent="0.3">
      <c r="I13">
        <v>10</v>
      </c>
      <c r="J13">
        <v>2.4708756809704902</v>
      </c>
      <c r="K13" t="b">
        <f>TRUE()</f>
        <v>1</v>
      </c>
    </row>
    <row r="14" spans="1:14" x14ac:dyDescent="0.3">
      <c r="I14">
        <v>11</v>
      </c>
      <c r="J14">
        <v>2.49032100796467</v>
      </c>
      <c r="K14" t="b">
        <f>TRUE()</f>
        <v>1</v>
      </c>
    </row>
    <row r="15" spans="1:14" x14ac:dyDescent="0.3">
      <c r="I15">
        <v>12</v>
      </c>
      <c r="J15">
        <v>2.4753698100103101</v>
      </c>
      <c r="K15" t="b">
        <f>TRUE()</f>
        <v>1</v>
      </c>
    </row>
    <row r="16" spans="1:14" x14ac:dyDescent="0.3">
      <c r="I16">
        <v>13</v>
      </c>
      <c r="J16">
        <v>2.4646177460090302</v>
      </c>
      <c r="K16" t="b">
        <f>TRUE()</f>
        <v>1</v>
      </c>
    </row>
    <row r="17" spans="9:14" x14ac:dyDescent="0.3">
      <c r="I17">
        <v>14</v>
      </c>
      <c r="J17">
        <v>2.4781185769825198</v>
      </c>
      <c r="K17" t="b">
        <f>TRUE()</f>
        <v>1</v>
      </c>
    </row>
    <row r="18" spans="9:14" x14ac:dyDescent="0.3">
      <c r="I18">
        <v>15</v>
      </c>
      <c r="J18">
        <v>2.4747920139925599</v>
      </c>
      <c r="K18" t="b">
        <f>TRUE()</f>
        <v>1</v>
      </c>
    </row>
    <row r="21" spans="9:14" x14ac:dyDescent="0.3">
      <c r="M21">
        <v>0</v>
      </c>
      <c r="N21">
        <v>9501936</v>
      </c>
    </row>
    <row r="22" spans="9:14" x14ac:dyDescent="0.3">
      <c r="M22">
        <v>1</v>
      </c>
      <c r="N22">
        <v>190962625</v>
      </c>
    </row>
    <row r="23" spans="9:14" x14ac:dyDescent="0.3">
      <c r="M23">
        <v>2</v>
      </c>
      <c r="N23">
        <v>55423567</v>
      </c>
    </row>
    <row r="24" spans="9:14" x14ac:dyDescent="0.3">
      <c r="M24">
        <v>3</v>
      </c>
      <c r="N24">
        <v>1472798</v>
      </c>
    </row>
    <row r="25" spans="9:14" x14ac:dyDescent="0.3">
      <c r="M25">
        <v>4</v>
      </c>
      <c r="N25">
        <v>1926898</v>
      </c>
    </row>
    <row r="26" spans="9:14" x14ac:dyDescent="0.3">
      <c r="M26">
        <v>5</v>
      </c>
      <c r="N26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8"/>
  <sheetViews>
    <sheetView zoomScaleNormal="100" workbookViewId="0"/>
  </sheetViews>
  <sheetFormatPr defaultColWidth="8.4414062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26</v>
      </c>
      <c r="N1" s="1" t="s">
        <v>17</v>
      </c>
    </row>
    <row r="2" spans="1:14" x14ac:dyDescent="0.3">
      <c r="A2" t="s">
        <v>27</v>
      </c>
      <c r="B2">
        <v>12.071232413989501</v>
      </c>
      <c r="C2">
        <v>12.3342251970025</v>
      </c>
      <c r="D2">
        <v>12.333956087635899</v>
      </c>
      <c r="E2">
        <v>12.6216721590026</v>
      </c>
      <c r="F2">
        <v>0.14295118230853501</v>
      </c>
      <c r="G2">
        <v>15</v>
      </c>
    </row>
    <row r="4" spans="1:14" x14ac:dyDescent="0.3">
      <c r="I4" t="s">
        <v>12</v>
      </c>
      <c r="K4" t="b">
        <f>FALSE()</f>
        <v>0</v>
      </c>
    </row>
    <row r="5" spans="1:14" x14ac:dyDescent="0.3">
      <c r="I5">
        <v>2</v>
      </c>
      <c r="J5">
        <v>12.071232413989501</v>
      </c>
      <c r="K5" t="b">
        <f>TRUE()</f>
        <v>1</v>
      </c>
    </row>
    <row r="6" spans="1:14" x14ac:dyDescent="0.3">
      <c r="I6">
        <v>3</v>
      </c>
      <c r="J6">
        <v>12.325880857009899</v>
      </c>
      <c r="K6" t="b">
        <f>TRUE()</f>
        <v>1</v>
      </c>
    </row>
    <row r="7" spans="1:14" x14ac:dyDescent="0.3">
      <c r="I7">
        <v>4</v>
      </c>
      <c r="J7">
        <v>12.3256886969903</v>
      </c>
      <c r="K7" t="b">
        <f>TRUE()</f>
        <v>1</v>
      </c>
    </row>
    <row r="8" spans="1:14" x14ac:dyDescent="0.3">
      <c r="I8">
        <v>5</v>
      </c>
      <c r="J8">
        <v>12.169031213968999</v>
      </c>
      <c r="K8" t="b">
        <f>TRUE()</f>
        <v>1</v>
      </c>
    </row>
    <row r="9" spans="1:14" x14ac:dyDescent="0.3">
      <c r="I9">
        <v>6</v>
      </c>
      <c r="J9">
        <v>12.310572462971299</v>
      </c>
      <c r="K9" t="b">
        <f>TRUE()</f>
        <v>1</v>
      </c>
    </row>
    <row r="10" spans="1:14" x14ac:dyDescent="0.3">
      <c r="I10">
        <v>7</v>
      </c>
      <c r="J10">
        <v>12.424001690000299</v>
      </c>
      <c r="K10" t="b">
        <f>TRUE()</f>
        <v>1</v>
      </c>
    </row>
    <row r="11" spans="1:14" x14ac:dyDescent="0.3">
      <c r="I11">
        <v>8</v>
      </c>
      <c r="J11">
        <v>12.4604266959941</v>
      </c>
      <c r="K11" t="b">
        <f>TRUE()</f>
        <v>1</v>
      </c>
    </row>
    <row r="12" spans="1:14" x14ac:dyDescent="0.3">
      <c r="I12">
        <v>9</v>
      </c>
      <c r="J12">
        <v>12.3882937370217</v>
      </c>
      <c r="K12" t="b">
        <f>TRUE()</f>
        <v>1</v>
      </c>
    </row>
    <row r="13" spans="1:14" x14ac:dyDescent="0.3">
      <c r="I13">
        <v>10</v>
      </c>
      <c r="J13">
        <v>12.1461878599948</v>
      </c>
      <c r="K13" t="b">
        <f>TRUE()</f>
        <v>1</v>
      </c>
    </row>
    <row r="14" spans="1:14" x14ac:dyDescent="0.3">
      <c r="I14">
        <v>11</v>
      </c>
      <c r="J14">
        <v>12.392196591943501</v>
      </c>
      <c r="K14" t="b">
        <f>TRUE()</f>
        <v>1</v>
      </c>
    </row>
    <row r="15" spans="1:14" x14ac:dyDescent="0.3">
      <c r="I15">
        <v>12</v>
      </c>
      <c r="J15">
        <v>12.448189745016901</v>
      </c>
      <c r="K15" t="b">
        <f>TRUE()</f>
        <v>1</v>
      </c>
    </row>
    <row r="16" spans="1:14" x14ac:dyDescent="0.3">
      <c r="I16">
        <v>13</v>
      </c>
      <c r="J16">
        <v>12.3425695369951</v>
      </c>
      <c r="K16" t="b">
        <f>TRUE()</f>
        <v>1</v>
      </c>
    </row>
    <row r="17" spans="9:14" x14ac:dyDescent="0.3">
      <c r="I17">
        <v>14</v>
      </c>
      <c r="J17">
        <v>12.249441566004</v>
      </c>
      <c r="K17" t="b">
        <f>TRUE()</f>
        <v>1</v>
      </c>
    </row>
    <row r="18" spans="9:14" x14ac:dyDescent="0.3">
      <c r="I18">
        <v>15</v>
      </c>
      <c r="J18">
        <v>12.6216721590026</v>
      </c>
      <c r="K18" t="b">
        <f>TRUE()</f>
        <v>1</v>
      </c>
    </row>
    <row r="21" spans="9:14" x14ac:dyDescent="0.3">
      <c r="M21" t="s">
        <v>28</v>
      </c>
      <c r="N21">
        <v>232488090</v>
      </c>
    </row>
    <row r="22" spans="9:14" x14ac:dyDescent="0.3">
      <c r="M22" t="s">
        <v>29</v>
      </c>
      <c r="N22">
        <v>20533875</v>
      </c>
    </row>
    <row r="23" spans="9:14" x14ac:dyDescent="0.3">
      <c r="M23" t="s">
        <v>30</v>
      </c>
      <c r="N23">
        <v>2142477</v>
      </c>
    </row>
    <row r="24" spans="9:14" x14ac:dyDescent="0.3">
      <c r="M24" t="s">
        <v>31</v>
      </c>
      <c r="N24">
        <v>2984242</v>
      </c>
    </row>
    <row r="25" spans="9:14" x14ac:dyDescent="0.3">
      <c r="M25" t="s">
        <v>32</v>
      </c>
      <c r="N25">
        <v>701193</v>
      </c>
    </row>
    <row r="26" spans="9:14" x14ac:dyDescent="0.3">
      <c r="M26" t="s">
        <v>33</v>
      </c>
      <c r="N26">
        <v>384268</v>
      </c>
    </row>
    <row r="27" spans="9:14" x14ac:dyDescent="0.3">
      <c r="M27" t="s">
        <v>34</v>
      </c>
      <c r="N27">
        <v>34956</v>
      </c>
    </row>
    <row r="28" spans="9:14" x14ac:dyDescent="0.3">
      <c r="M28" t="s">
        <v>35</v>
      </c>
      <c r="N28">
        <v>18787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0"/>
  <sheetViews>
    <sheetView zoomScaleNormal="100" workbookViewId="0"/>
  </sheetViews>
  <sheetFormatPr defaultColWidth="8.4414062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36</v>
      </c>
      <c r="N1" s="1" t="s">
        <v>37</v>
      </c>
      <c r="O1" s="1" t="s">
        <v>17</v>
      </c>
    </row>
    <row r="2" spans="1:15" x14ac:dyDescent="0.3">
      <c r="A2" t="s">
        <v>38</v>
      </c>
      <c r="B2">
        <v>29.544067479029799</v>
      </c>
      <c r="C2">
        <v>30.392359177494701</v>
      </c>
      <c r="D2">
        <v>30.603803283219001</v>
      </c>
      <c r="E2">
        <v>32.066713137028302</v>
      </c>
      <c r="F2">
        <v>0.76309476510410501</v>
      </c>
      <c r="G2">
        <v>15</v>
      </c>
    </row>
    <row r="4" spans="1:15" x14ac:dyDescent="0.3">
      <c r="I4" t="s">
        <v>12</v>
      </c>
      <c r="K4" t="b">
        <f>FALSE()</f>
        <v>0</v>
      </c>
    </row>
    <row r="5" spans="1:15" x14ac:dyDescent="0.3">
      <c r="I5">
        <v>2</v>
      </c>
      <c r="J5">
        <v>30.0288978620083</v>
      </c>
      <c r="K5" t="b">
        <f>TRUE()</f>
        <v>1</v>
      </c>
    </row>
    <row r="6" spans="1:15" x14ac:dyDescent="0.3">
      <c r="I6">
        <v>3</v>
      </c>
      <c r="J6">
        <v>29.544067479029799</v>
      </c>
      <c r="K6" t="b">
        <f>TRUE()</f>
        <v>1</v>
      </c>
    </row>
    <row r="7" spans="1:15" x14ac:dyDescent="0.3">
      <c r="I7">
        <v>4</v>
      </c>
      <c r="J7">
        <v>29.8595861700014</v>
      </c>
      <c r="K7" t="b">
        <f>TRUE()</f>
        <v>1</v>
      </c>
    </row>
    <row r="8" spans="1:15" x14ac:dyDescent="0.3">
      <c r="I8">
        <v>5</v>
      </c>
      <c r="J8">
        <v>31.368782829958999</v>
      </c>
      <c r="K8" t="b">
        <f>TRUE()</f>
        <v>1</v>
      </c>
    </row>
    <row r="9" spans="1:15" x14ac:dyDescent="0.3">
      <c r="I9">
        <v>6</v>
      </c>
      <c r="J9">
        <v>31.918794658035001</v>
      </c>
      <c r="K9" t="b">
        <f>TRUE()</f>
        <v>1</v>
      </c>
    </row>
    <row r="10" spans="1:15" x14ac:dyDescent="0.3">
      <c r="I10">
        <v>7</v>
      </c>
      <c r="J10">
        <v>31.028372056025599</v>
      </c>
      <c r="K10" t="b">
        <f>TRUE()</f>
        <v>1</v>
      </c>
    </row>
    <row r="11" spans="1:15" x14ac:dyDescent="0.3">
      <c r="I11">
        <v>8</v>
      </c>
      <c r="J11">
        <v>30.697838145017201</v>
      </c>
      <c r="K11" t="b">
        <f>TRUE()</f>
        <v>1</v>
      </c>
    </row>
    <row r="12" spans="1:15" x14ac:dyDescent="0.3">
      <c r="I12">
        <v>9</v>
      </c>
      <c r="J12">
        <v>30.218318516970601</v>
      </c>
      <c r="K12" t="b">
        <f>TRUE()</f>
        <v>1</v>
      </c>
    </row>
    <row r="13" spans="1:15" x14ac:dyDescent="0.3">
      <c r="I13">
        <v>10</v>
      </c>
      <c r="J13">
        <v>30.335349283995999</v>
      </c>
      <c r="K13" t="b">
        <f>TRUE()</f>
        <v>1</v>
      </c>
    </row>
    <row r="14" spans="1:15" x14ac:dyDescent="0.3">
      <c r="I14">
        <v>11</v>
      </c>
      <c r="J14">
        <v>30.810005188977801</v>
      </c>
      <c r="K14" t="b">
        <f>TRUE()</f>
        <v>1</v>
      </c>
    </row>
    <row r="15" spans="1:15" x14ac:dyDescent="0.3">
      <c r="I15">
        <v>12</v>
      </c>
      <c r="J15">
        <v>30.219030868029201</v>
      </c>
      <c r="K15" t="b">
        <f>TRUE()</f>
        <v>1</v>
      </c>
    </row>
    <row r="16" spans="1:15" x14ac:dyDescent="0.3">
      <c r="I16">
        <v>13</v>
      </c>
      <c r="J16">
        <v>29.908120698994001</v>
      </c>
      <c r="K16" t="b">
        <f>TRUE()</f>
        <v>1</v>
      </c>
    </row>
    <row r="17" spans="9:15" x14ac:dyDescent="0.3">
      <c r="I17">
        <v>14</v>
      </c>
      <c r="J17">
        <v>30.449369070993299</v>
      </c>
      <c r="K17" t="b">
        <f>TRUE()</f>
        <v>1</v>
      </c>
    </row>
    <row r="18" spans="9:15" x14ac:dyDescent="0.3">
      <c r="I18">
        <v>15</v>
      </c>
      <c r="J18">
        <v>32.066713137028302</v>
      </c>
      <c r="K18" t="b">
        <f>TRUE()</f>
        <v>1</v>
      </c>
    </row>
    <row r="21" spans="9:15" x14ac:dyDescent="0.3">
      <c r="M21" t="s">
        <v>39</v>
      </c>
      <c r="N21" t="s">
        <v>40</v>
      </c>
      <c r="O21">
        <v>1733248</v>
      </c>
    </row>
    <row r="22" spans="9:15" x14ac:dyDescent="0.3">
      <c r="M22" t="s">
        <v>40</v>
      </c>
      <c r="N22" t="s">
        <v>39</v>
      </c>
      <c r="O22">
        <v>1479932</v>
      </c>
    </row>
    <row r="23" spans="9:15" x14ac:dyDescent="0.3">
      <c r="M23" t="s">
        <v>33</v>
      </c>
      <c r="N23" t="s">
        <v>33</v>
      </c>
      <c r="O23">
        <v>1370625</v>
      </c>
    </row>
    <row r="24" spans="9:15" x14ac:dyDescent="0.3">
      <c r="M24" t="s">
        <v>40</v>
      </c>
      <c r="N24" t="s">
        <v>40</v>
      </c>
      <c r="O24">
        <v>1274976</v>
      </c>
    </row>
    <row r="25" spans="9:15" x14ac:dyDescent="0.3">
      <c r="M25" t="s">
        <v>39</v>
      </c>
      <c r="N25" t="s">
        <v>39</v>
      </c>
      <c r="O25">
        <v>1265258</v>
      </c>
    </row>
    <row r="26" spans="9:15" x14ac:dyDescent="0.3">
      <c r="M26" t="s">
        <v>41</v>
      </c>
      <c r="N26" t="s">
        <v>39</v>
      </c>
      <c r="O26">
        <v>713272</v>
      </c>
    </row>
    <row r="27" spans="9:15" x14ac:dyDescent="0.3">
      <c r="M27" t="s">
        <v>39</v>
      </c>
      <c r="N27" t="s">
        <v>41</v>
      </c>
      <c r="O27">
        <v>711320</v>
      </c>
    </row>
    <row r="28" spans="9:15" x14ac:dyDescent="0.3">
      <c r="M28" t="s">
        <v>42</v>
      </c>
      <c r="N28" t="s">
        <v>43</v>
      </c>
      <c r="O28">
        <v>689309</v>
      </c>
    </row>
    <row r="29" spans="9:15" x14ac:dyDescent="0.3">
      <c r="M29" t="s">
        <v>42</v>
      </c>
      <c r="N29" t="s">
        <v>44</v>
      </c>
      <c r="O29">
        <v>685142</v>
      </c>
    </row>
    <row r="30" spans="9:15" x14ac:dyDescent="0.3">
      <c r="M30" t="s">
        <v>44</v>
      </c>
      <c r="N30" t="s">
        <v>42</v>
      </c>
      <c r="O30">
        <v>667057</v>
      </c>
    </row>
    <row r="31" spans="9:15" x14ac:dyDescent="0.3">
      <c r="M31" t="s">
        <v>39</v>
      </c>
      <c r="N31" t="s">
        <v>45</v>
      </c>
      <c r="O31">
        <v>649683</v>
      </c>
    </row>
    <row r="32" spans="9:15" x14ac:dyDescent="0.3">
      <c r="M32" t="s">
        <v>46</v>
      </c>
      <c r="N32" t="s">
        <v>40</v>
      </c>
      <c r="O32">
        <v>620156</v>
      </c>
    </row>
    <row r="33" spans="13:15" x14ac:dyDescent="0.3">
      <c r="M33" t="s">
        <v>41</v>
      </c>
      <c r="N33" t="s">
        <v>40</v>
      </c>
      <c r="O33">
        <v>596977</v>
      </c>
    </row>
    <row r="34" spans="13:15" x14ac:dyDescent="0.3">
      <c r="M34" t="s">
        <v>43</v>
      </c>
      <c r="N34" t="s">
        <v>42</v>
      </c>
      <c r="O34">
        <v>593489</v>
      </c>
    </row>
    <row r="35" spans="13:15" x14ac:dyDescent="0.3">
      <c r="M35" t="s">
        <v>39</v>
      </c>
      <c r="N35" t="s">
        <v>46</v>
      </c>
      <c r="O35">
        <v>545583</v>
      </c>
    </row>
    <row r="36" spans="13:15" x14ac:dyDescent="0.3">
      <c r="M36" t="s">
        <v>47</v>
      </c>
      <c r="N36" t="s">
        <v>48</v>
      </c>
      <c r="O36">
        <v>541091</v>
      </c>
    </row>
    <row r="37" spans="13:15" x14ac:dyDescent="0.3">
      <c r="M37" t="s">
        <v>47</v>
      </c>
      <c r="N37" t="s">
        <v>41</v>
      </c>
      <c r="O37">
        <v>538358</v>
      </c>
    </row>
    <row r="38" spans="13:15" x14ac:dyDescent="0.3">
      <c r="M38" t="s">
        <v>40</v>
      </c>
      <c r="N38" t="s">
        <v>46</v>
      </c>
      <c r="O38">
        <v>533879</v>
      </c>
    </row>
    <row r="39" spans="13:15" x14ac:dyDescent="0.3">
      <c r="M39" t="s">
        <v>40</v>
      </c>
      <c r="N39" t="s">
        <v>41</v>
      </c>
      <c r="O39">
        <v>526807</v>
      </c>
    </row>
    <row r="40" spans="13:15" x14ac:dyDescent="0.3">
      <c r="M40" t="s">
        <v>49</v>
      </c>
      <c r="N40" t="s">
        <v>40</v>
      </c>
      <c r="O40">
        <v>525601</v>
      </c>
    </row>
    <row r="41" spans="13:15" x14ac:dyDescent="0.3">
      <c r="M41" t="s">
        <v>46</v>
      </c>
      <c r="N41" t="s">
        <v>39</v>
      </c>
      <c r="O41">
        <v>520743</v>
      </c>
    </row>
    <row r="42" spans="13:15" x14ac:dyDescent="0.3">
      <c r="M42" t="s">
        <v>49</v>
      </c>
      <c r="N42" t="s">
        <v>46</v>
      </c>
      <c r="O42">
        <v>519745</v>
      </c>
    </row>
    <row r="43" spans="13:15" x14ac:dyDescent="0.3">
      <c r="M43" t="s">
        <v>44</v>
      </c>
      <c r="N43" t="s">
        <v>43</v>
      </c>
      <c r="O43">
        <v>511202</v>
      </c>
    </row>
    <row r="44" spans="13:15" x14ac:dyDescent="0.3">
      <c r="M44" t="s">
        <v>50</v>
      </c>
      <c r="N44" t="s">
        <v>51</v>
      </c>
      <c r="O44">
        <v>508084</v>
      </c>
    </row>
    <row r="45" spans="13:15" x14ac:dyDescent="0.3">
      <c r="M45" t="s">
        <v>42</v>
      </c>
      <c r="N45" t="s">
        <v>42</v>
      </c>
      <c r="O45">
        <v>503617</v>
      </c>
    </row>
    <row r="46" spans="13:15" x14ac:dyDescent="0.3">
      <c r="M46" t="s">
        <v>45</v>
      </c>
      <c r="N46" t="s">
        <v>39</v>
      </c>
      <c r="O46">
        <v>502530</v>
      </c>
    </row>
    <row r="47" spans="13:15" x14ac:dyDescent="0.3">
      <c r="M47" t="s">
        <v>52</v>
      </c>
      <c r="N47" t="s">
        <v>52</v>
      </c>
      <c r="O47">
        <v>497894</v>
      </c>
    </row>
    <row r="48" spans="13:15" x14ac:dyDescent="0.3">
      <c r="M48" t="s">
        <v>40</v>
      </c>
      <c r="N48" t="s">
        <v>42</v>
      </c>
      <c r="O48">
        <v>496011</v>
      </c>
    </row>
    <row r="49" spans="13:15" x14ac:dyDescent="0.3">
      <c r="M49" t="s">
        <v>50</v>
      </c>
      <c r="N49" t="s">
        <v>50</v>
      </c>
      <c r="O49">
        <v>486003</v>
      </c>
    </row>
    <row r="50" spans="13:15" x14ac:dyDescent="0.3">
      <c r="M50" t="s">
        <v>41</v>
      </c>
      <c r="N50" t="s">
        <v>41</v>
      </c>
      <c r="O50">
        <v>477646</v>
      </c>
    </row>
    <row r="51" spans="13:15" x14ac:dyDescent="0.3">
      <c r="M51" t="s">
        <v>40</v>
      </c>
      <c r="N51" t="s">
        <v>45</v>
      </c>
      <c r="O51">
        <v>469615</v>
      </c>
    </row>
    <row r="52" spans="13:15" x14ac:dyDescent="0.3">
      <c r="M52" t="s">
        <v>44</v>
      </c>
      <c r="N52" t="s">
        <v>39</v>
      </c>
      <c r="O52">
        <v>467969</v>
      </c>
    </row>
    <row r="53" spans="13:15" x14ac:dyDescent="0.3">
      <c r="M53" t="s">
        <v>39</v>
      </c>
      <c r="N53" t="s">
        <v>49</v>
      </c>
      <c r="O53">
        <v>467067</v>
      </c>
    </row>
    <row r="54" spans="13:15" x14ac:dyDescent="0.3">
      <c r="M54" t="s">
        <v>42</v>
      </c>
      <c r="N54" t="s">
        <v>40</v>
      </c>
      <c r="O54">
        <v>466318</v>
      </c>
    </row>
    <row r="55" spans="13:15" x14ac:dyDescent="0.3">
      <c r="M55" t="s">
        <v>39</v>
      </c>
      <c r="N55" t="s">
        <v>44</v>
      </c>
      <c r="O55">
        <v>465810</v>
      </c>
    </row>
    <row r="56" spans="13:15" x14ac:dyDescent="0.3">
      <c r="M56" t="s">
        <v>53</v>
      </c>
      <c r="N56" t="s">
        <v>54</v>
      </c>
      <c r="O56">
        <v>465752</v>
      </c>
    </row>
    <row r="57" spans="13:15" x14ac:dyDescent="0.3">
      <c r="M57" t="s">
        <v>48</v>
      </c>
      <c r="N57" t="s">
        <v>47</v>
      </c>
      <c r="O57">
        <v>464328</v>
      </c>
    </row>
    <row r="58" spans="13:15" x14ac:dyDescent="0.3">
      <c r="M58" t="s">
        <v>40</v>
      </c>
      <c r="N58" t="s">
        <v>43</v>
      </c>
      <c r="O58">
        <v>457666</v>
      </c>
    </row>
    <row r="59" spans="13:15" x14ac:dyDescent="0.3">
      <c r="M59" t="s">
        <v>41</v>
      </c>
      <c r="N59" t="s">
        <v>55</v>
      </c>
      <c r="O59">
        <v>450797</v>
      </c>
    </row>
    <row r="60" spans="13:15" x14ac:dyDescent="0.3">
      <c r="M60" t="s">
        <v>55</v>
      </c>
      <c r="N60" t="s">
        <v>54</v>
      </c>
      <c r="O60">
        <v>448013</v>
      </c>
    </row>
    <row r="61" spans="13:15" x14ac:dyDescent="0.3">
      <c r="M61" t="s">
        <v>47</v>
      </c>
      <c r="N61" t="s">
        <v>54</v>
      </c>
      <c r="O61">
        <v>440377</v>
      </c>
    </row>
    <row r="62" spans="13:15" x14ac:dyDescent="0.3">
      <c r="M62" t="s">
        <v>56</v>
      </c>
      <c r="N62" t="s">
        <v>40</v>
      </c>
      <c r="O62">
        <v>439798</v>
      </c>
    </row>
    <row r="63" spans="13:15" x14ac:dyDescent="0.3">
      <c r="M63" t="s">
        <v>46</v>
      </c>
      <c r="N63" t="s">
        <v>46</v>
      </c>
      <c r="O63">
        <v>439748</v>
      </c>
    </row>
    <row r="64" spans="13:15" x14ac:dyDescent="0.3">
      <c r="M64" t="s">
        <v>39</v>
      </c>
      <c r="N64" t="s">
        <v>56</v>
      </c>
      <c r="O64">
        <v>434855</v>
      </c>
    </row>
    <row r="65" spans="13:15" x14ac:dyDescent="0.3">
      <c r="M65" t="s">
        <v>41</v>
      </c>
      <c r="N65" t="s">
        <v>57</v>
      </c>
      <c r="O65">
        <v>434389</v>
      </c>
    </row>
    <row r="66" spans="13:15" x14ac:dyDescent="0.3">
      <c r="M66" t="s">
        <v>58</v>
      </c>
      <c r="N66" t="s">
        <v>40</v>
      </c>
      <c r="O66">
        <v>434077</v>
      </c>
    </row>
    <row r="67" spans="13:15" x14ac:dyDescent="0.3">
      <c r="M67" t="s">
        <v>40</v>
      </c>
      <c r="N67" t="s">
        <v>49</v>
      </c>
      <c r="O67">
        <v>430974</v>
      </c>
    </row>
    <row r="68" spans="13:15" x14ac:dyDescent="0.3">
      <c r="M68" t="s">
        <v>45</v>
      </c>
      <c r="N68" t="s">
        <v>40</v>
      </c>
      <c r="O68">
        <v>428259</v>
      </c>
    </row>
    <row r="69" spans="13:15" x14ac:dyDescent="0.3">
      <c r="M69" t="s">
        <v>43</v>
      </c>
      <c r="N69" t="s">
        <v>44</v>
      </c>
      <c r="O69">
        <v>425813</v>
      </c>
    </row>
    <row r="70" spans="13:15" x14ac:dyDescent="0.3">
      <c r="M70" t="s">
        <v>40</v>
      </c>
      <c r="N70" t="s">
        <v>59</v>
      </c>
      <c r="O70">
        <v>424652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20"/>
  <sheetViews>
    <sheetView zoomScaleNormal="100" workbookViewId="0"/>
  </sheetViews>
  <sheetFormatPr defaultColWidth="8.4414062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24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</row>
    <row r="2" spans="1:32" x14ac:dyDescent="0.3">
      <c r="A2" t="s">
        <v>79</v>
      </c>
      <c r="B2">
        <v>0.142587704001926</v>
      </c>
      <c r="C2">
        <v>0.152068332972704</v>
      </c>
      <c r="D2">
        <v>0.151848269855171</v>
      </c>
      <c r="E2">
        <v>0.159136452013627</v>
      </c>
      <c r="F2">
        <v>4.5775187270678504E-3</v>
      </c>
      <c r="G2">
        <v>15</v>
      </c>
    </row>
    <row r="4" spans="1:32" x14ac:dyDescent="0.3">
      <c r="I4" t="s">
        <v>12</v>
      </c>
      <c r="K4" t="b">
        <f>FALSE()</f>
        <v>0</v>
      </c>
    </row>
    <row r="5" spans="1:32" x14ac:dyDescent="0.3">
      <c r="I5">
        <v>2</v>
      </c>
      <c r="J5">
        <v>0.15423403994645901</v>
      </c>
      <c r="K5" t="b">
        <f>TRUE()</f>
        <v>1</v>
      </c>
    </row>
    <row r="6" spans="1:32" x14ac:dyDescent="0.3">
      <c r="I6">
        <v>3</v>
      </c>
      <c r="J6">
        <v>0.14580937201390001</v>
      </c>
      <c r="K6" t="b">
        <f>TRUE()</f>
        <v>1</v>
      </c>
    </row>
    <row r="7" spans="1:32" x14ac:dyDescent="0.3">
      <c r="I7">
        <v>4</v>
      </c>
      <c r="J7">
        <v>0.14534051402006301</v>
      </c>
      <c r="K7" t="b">
        <f>TRUE()</f>
        <v>1</v>
      </c>
    </row>
    <row r="8" spans="1:32" x14ac:dyDescent="0.3">
      <c r="I8">
        <v>5</v>
      </c>
      <c r="J8">
        <v>0.152204737998545</v>
      </c>
      <c r="K8" t="b">
        <f>TRUE()</f>
        <v>1</v>
      </c>
    </row>
    <row r="9" spans="1:32" x14ac:dyDescent="0.3">
      <c r="I9">
        <v>6</v>
      </c>
      <c r="J9">
        <v>0.151869279041421</v>
      </c>
      <c r="K9" t="b">
        <f>TRUE()</f>
        <v>1</v>
      </c>
    </row>
    <row r="10" spans="1:32" x14ac:dyDescent="0.3">
      <c r="I10">
        <v>7</v>
      </c>
      <c r="J10">
        <v>0.153857731027529</v>
      </c>
      <c r="K10" t="b">
        <f>TRUE()</f>
        <v>1</v>
      </c>
    </row>
    <row r="11" spans="1:32" x14ac:dyDescent="0.3">
      <c r="I11">
        <v>8</v>
      </c>
      <c r="J11">
        <v>0.151931927946862</v>
      </c>
      <c r="K11" t="b">
        <f>TRUE()</f>
        <v>1</v>
      </c>
    </row>
    <row r="12" spans="1:32" x14ac:dyDescent="0.3">
      <c r="I12">
        <v>9</v>
      </c>
      <c r="J12">
        <v>0.15678271104116001</v>
      </c>
      <c r="K12" t="b">
        <f>TRUE()</f>
        <v>1</v>
      </c>
    </row>
    <row r="13" spans="1:32" x14ac:dyDescent="0.3">
      <c r="I13">
        <v>10</v>
      </c>
      <c r="J13">
        <v>0.15581356396432999</v>
      </c>
      <c r="K13" t="b">
        <f>TRUE()</f>
        <v>1</v>
      </c>
    </row>
    <row r="14" spans="1:32" x14ac:dyDescent="0.3">
      <c r="I14">
        <v>11</v>
      </c>
      <c r="J14">
        <v>0.15372566197765999</v>
      </c>
      <c r="K14" t="b">
        <f>TRUE()</f>
        <v>1</v>
      </c>
    </row>
    <row r="15" spans="1:32" x14ac:dyDescent="0.3">
      <c r="I15">
        <v>12</v>
      </c>
      <c r="J15">
        <v>0.159136452013627</v>
      </c>
      <c r="K15" t="b">
        <f>TRUE()</f>
        <v>1</v>
      </c>
    </row>
    <row r="16" spans="1:32" x14ac:dyDescent="0.3">
      <c r="I16">
        <v>13</v>
      </c>
      <c r="J16">
        <v>0.15073393296915999</v>
      </c>
      <c r="K16" t="b">
        <f>TRUE()</f>
        <v>1</v>
      </c>
    </row>
    <row r="17" spans="9:32" x14ac:dyDescent="0.3">
      <c r="I17">
        <v>14</v>
      </c>
      <c r="J17">
        <v>0.15184815000975499</v>
      </c>
      <c r="K17" t="b">
        <f>TRUE()</f>
        <v>1</v>
      </c>
    </row>
    <row r="18" spans="9:32" x14ac:dyDescent="0.3">
      <c r="I18">
        <v>15</v>
      </c>
      <c r="J18">
        <v>0.142587704001926</v>
      </c>
      <c r="K18" t="b">
        <f>TRUE()</f>
        <v>1</v>
      </c>
    </row>
    <row r="21" spans="9:32" x14ac:dyDescent="0.3">
      <c r="N21">
        <v>239</v>
      </c>
      <c r="O21">
        <v>151</v>
      </c>
      <c r="P21">
        <v>1</v>
      </c>
      <c r="Q21">
        <v>1</v>
      </c>
      <c r="T21">
        <v>0.5</v>
      </c>
      <c r="U21">
        <v>7</v>
      </c>
      <c r="V21">
        <v>0.3</v>
      </c>
      <c r="W21">
        <v>0.5</v>
      </c>
      <c r="X21">
        <v>1</v>
      </c>
      <c r="Y21">
        <v>1</v>
      </c>
      <c r="Z21" t="s">
        <v>80</v>
      </c>
      <c r="AA21">
        <v>1.65</v>
      </c>
      <c r="AB21">
        <v>0</v>
      </c>
      <c r="AC21">
        <v>9.9499999999999993</v>
      </c>
      <c r="AD21" s="2">
        <v>43466.037037037</v>
      </c>
      <c r="AE21" s="2">
        <v>43466.032407407401</v>
      </c>
      <c r="AF21">
        <v>1.5</v>
      </c>
    </row>
    <row r="22" spans="9:32" x14ac:dyDescent="0.3">
      <c r="N22">
        <v>246</v>
      </c>
      <c r="O22">
        <v>239</v>
      </c>
      <c r="P22">
        <v>1</v>
      </c>
      <c r="Q22">
        <v>1</v>
      </c>
      <c r="T22">
        <v>0.5</v>
      </c>
      <c r="U22">
        <v>14</v>
      </c>
      <c r="V22">
        <v>0.3</v>
      </c>
      <c r="W22">
        <v>0.5</v>
      </c>
      <c r="X22">
        <v>1</v>
      </c>
      <c r="Y22">
        <v>1</v>
      </c>
      <c r="Z22" t="s">
        <v>80</v>
      </c>
      <c r="AA22">
        <v>1</v>
      </c>
      <c r="AB22">
        <v>0</v>
      </c>
      <c r="AC22">
        <v>16.3</v>
      </c>
      <c r="AD22" s="2">
        <v>43466.054849537002</v>
      </c>
      <c r="AE22" s="2">
        <v>43466.041516203702</v>
      </c>
      <c r="AF22">
        <v>2.6</v>
      </c>
    </row>
    <row r="23" spans="9:32" x14ac:dyDescent="0.3">
      <c r="N23">
        <v>229</v>
      </c>
      <c r="O23">
        <v>163</v>
      </c>
      <c r="P23">
        <v>1</v>
      </c>
      <c r="Q23">
        <v>1</v>
      </c>
      <c r="T23">
        <v>0.5</v>
      </c>
      <c r="U23">
        <v>6.5</v>
      </c>
      <c r="V23">
        <v>0.3</v>
      </c>
      <c r="W23">
        <v>0.5</v>
      </c>
      <c r="X23">
        <v>1</v>
      </c>
      <c r="Y23">
        <v>1</v>
      </c>
      <c r="Z23" t="s">
        <v>80</v>
      </c>
      <c r="AA23">
        <v>1.25</v>
      </c>
      <c r="AB23">
        <v>0</v>
      </c>
      <c r="AC23">
        <v>9.0500000000000007</v>
      </c>
      <c r="AD23" s="2">
        <v>43466.019872685203</v>
      </c>
      <c r="AE23" s="2">
        <v>43466.0149074074</v>
      </c>
      <c r="AF23">
        <v>1.3</v>
      </c>
    </row>
    <row r="24" spans="9:32" x14ac:dyDescent="0.3">
      <c r="N24">
        <v>7</v>
      </c>
      <c r="O24">
        <v>229</v>
      </c>
      <c r="P24">
        <v>1</v>
      </c>
      <c r="Q24">
        <v>1</v>
      </c>
      <c r="T24">
        <v>0.5</v>
      </c>
      <c r="U24">
        <v>13.5</v>
      </c>
      <c r="V24">
        <v>0.3</v>
      </c>
      <c r="W24">
        <v>0.5</v>
      </c>
      <c r="X24">
        <v>1</v>
      </c>
      <c r="Y24">
        <v>1</v>
      </c>
      <c r="Z24" t="s">
        <v>80</v>
      </c>
      <c r="AA24">
        <v>3.7</v>
      </c>
      <c r="AB24">
        <v>0</v>
      </c>
      <c r="AC24">
        <v>18.5</v>
      </c>
      <c r="AD24" s="2">
        <v>43466.0317013889</v>
      </c>
      <c r="AE24" s="2">
        <v>43466.022233796299</v>
      </c>
      <c r="AF24">
        <v>3.7</v>
      </c>
    </row>
    <row r="25" spans="9:32" x14ac:dyDescent="0.3">
      <c r="N25">
        <v>151</v>
      </c>
      <c r="O25">
        <v>238</v>
      </c>
      <c r="P25">
        <v>1</v>
      </c>
      <c r="Q25">
        <v>1</v>
      </c>
      <c r="T25">
        <v>0.5</v>
      </c>
      <c r="U25">
        <v>5.5</v>
      </c>
      <c r="V25">
        <v>0.3</v>
      </c>
      <c r="W25">
        <v>0.5</v>
      </c>
      <c r="X25">
        <v>1</v>
      </c>
      <c r="Y25">
        <v>1</v>
      </c>
      <c r="Z25" t="s">
        <v>80</v>
      </c>
      <c r="AA25">
        <v>1.7</v>
      </c>
      <c r="AB25">
        <v>0</v>
      </c>
      <c r="AC25">
        <v>8.5</v>
      </c>
      <c r="AD25" s="2">
        <v>43466.019722222198</v>
      </c>
      <c r="AE25" s="2">
        <v>43466.0152662037</v>
      </c>
      <c r="AF25">
        <v>0.7</v>
      </c>
    </row>
    <row r="26" spans="9:32" x14ac:dyDescent="0.3">
      <c r="N26">
        <v>25</v>
      </c>
      <c r="O26">
        <v>163</v>
      </c>
      <c r="P26">
        <v>1</v>
      </c>
      <c r="Q26">
        <v>1</v>
      </c>
      <c r="T26">
        <v>0.5</v>
      </c>
      <c r="U26">
        <v>34.5</v>
      </c>
      <c r="V26">
        <v>0.3</v>
      </c>
      <c r="W26">
        <v>0.5</v>
      </c>
      <c r="X26">
        <v>1</v>
      </c>
      <c r="Y26">
        <v>1</v>
      </c>
      <c r="Z26" t="s">
        <v>80</v>
      </c>
      <c r="AA26">
        <v>7.15</v>
      </c>
      <c r="AB26">
        <v>0</v>
      </c>
      <c r="AC26">
        <v>42.95</v>
      </c>
      <c r="AD26" s="2">
        <v>43466.063252314802</v>
      </c>
      <c r="AE26" s="2">
        <v>43466.031493055598</v>
      </c>
      <c r="AF26">
        <v>8.6999999999999993</v>
      </c>
    </row>
    <row r="27" spans="9:32" x14ac:dyDescent="0.3">
      <c r="N27">
        <v>25</v>
      </c>
      <c r="O27">
        <v>224</v>
      </c>
      <c r="P27">
        <v>1</v>
      </c>
      <c r="Q27">
        <v>1</v>
      </c>
      <c r="T27">
        <v>0.5</v>
      </c>
      <c r="U27">
        <v>21.5</v>
      </c>
      <c r="V27">
        <v>0.3</v>
      </c>
      <c r="W27">
        <v>0.5</v>
      </c>
      <c r="X27">
        <v>1</v>
      </c>
      <c r="Y27">
        <v>1</v>
      </c>
      <c r="Z27" t="s">
        <v>80</v>
      </c>
      <c r="AA27">
        <v>5.7</v>
      </c>
      <c r="AB27">
        <v>0</v>
      </c>
      <c r="AC27">
        <v>28.5</v>
      </c>
      <c r="AD27" s="2">
        <v>43466.0470138889</v>
      </c>
      <c r="AE27" s="2">
        <v>43466.0300810185</v>
      </c>
      <c r="AF27">
        <v>6.3</v>
      </c>
    </row>
    <row r="28" spans="9:32" x14ac:dyDescent="0.3">
      <c r="N28">
        <v>234</v>
      </c>
      <c r="O28">
        <v>141</v>
      </c>
      <c r="P28">
        <v>1</v>
      </c>
      <c r="Q28">
        <v>1</v>
      </c>
      <c r="T28">
        <v>0.5</v>
      </c>
      <c r="U28">
        <v>13</v>
      </c>
      <c r="V28">
        <v>0.3</v>
      </c>
      <c r="W28">
        <v>0.5</v>
      </c>
      <c r="X28">
        <v>1</v>
      </c>
      <c r="Y28">
        <v>1</v>
      </c>
      <c r="Z28" t="s">
        <v>80</v>
      </c>
      <c r="AA28">
        <v>1</v>
      </c>
      <c r="AB28">
        <v>0</v>
      </c>
      <c r="AC28">
        <v>15.3</v>
      </c>
      <c r="AD28" s="2">
        <v>43466.052291666703</v>
      </c>
      <c r="AE28" s="2">
        <v>43466.040555555599</v>
      </c>
      <c r="AF28">
        <v>2.7</v>
      </c>
    </row>
    <row r="29" spans="9:32" x14ac:dyDescent="0.3">
      <c r="N29">
        <v>170</v>
      </c>
      <c r="O29">
        <v>170</v>
      </c>
      <c r="P29">
        <v>1</v>
      </c>
      <c r="Q29">
        <v>2</v>
      </c>
      <c r="T29">
        <v>0.5</v>
      </c>
      <c r="U29">
        <v>3.5</v>
      </c>
      <c r="V29">
        <v>0.3</v>
      </c>
      <c r="W29">
        <v>0.5</v>
      </c>
      <c r="X29">
        <v>1</v>
      </c>
      <c r="Y29">
        <v>2</v>
      </c>
      <c r="Z29" t="s">
        <v>80</v>
      </c>
      <c r="AA29">
        <v>0</v>
      </c>
      <c r="AB29">
        <v>0</v>
      </c>
      <c r="AC29">
        <v>4.8</v>
      </c>
      <c r="AD29" s="2">
        <v>43466.017824074101</v>
      </c>
      <c r="AE29" s="2">
        <v>43466.016134259298</v>
      </c>
      <c r="AF29">
        <v>0.38</v>
      </c>
    </row>
    <row r="30" spans="9:32" x14ac:dyDescent="0.3">
      <c r="N30">
        <v>170</v>
      </c>
      <c r="O30">
        <v>170</v>
      </c>
      <c r="P30">
        <v>1</v>
      </c>
      <c r="Q30">
        <v>2</v>
      </c>
      <c r="T30">
        <v>0.5</v>
      </c>
      <c r="U30">
        <v>6.5</v>
      </c>
      <c r="V30">
        <v>0.3</v>
      </c>
      <c r="W30">
        <v>0.5</v>
      </c>
      <c r="X30">
        <v>1</v>
      </c>
      <c r="Y30">
        <v>1</v>
      </c>
      <c r="Z30" t="s">
        <v>80</v>
      </c>
      <c r="AA30">
        <v>1.95</v>
      </c>
      <c r="AB30">
        <v>0</v>
      </c>
      <c r="AC30">
        <v>9.75</v>
      </c>
      <c r="AD30" s="2">
        <v>43466.033356481501</v>
      </c>
      <c r="AE30" s="2">
        <v>43466.027673611097</v>
      </c>
      <c r="AF30">
        <v>0.55000000000000004</v>
      </c>
    </row>
    <row r="31" spans="9:32" x14ac:dyDescent="0.3">
      <c r="N31">
        <v>107</v>
      </c>
      <c r="O31">
        <v>107</v>
      </c>
      <c r="P31">
        <v>1</v>
      </c>
      <c r="Q31">
        <v>2</v>
      </c>
      <c r="T31">
        <v>0.5</v>
      </c>
      <c r="U31">
        <v>4</v>
      </c>
      <c r="V31">
        <v>0.3</v>
      </c>
      <c r="W31">
        <v>0.5</v>
      </c>
      <c r="X31">
        <v>1</v>
      </c>
      <c r="Y31">
        <v>1</v>
      </c>
      <c r="Z31" t="s">
        <v>80</v>
      </c>
      <c r="AA31">
        <v>1.06</v>
      </c>
      <c r="AB31">
        <v>0</v>
      </c>
      <c r="AC31">
        <v>6.36</v>
      </c>
      <c r="AD31" s="2">
        <v>43466.034108796302</v>
      </c>
      <c r="AE31" s="2">
        <v>43466.031944444498</v>
      </c>
      <c r="AF31">
        <v>0.3</v>
      </c>
    </row>
    <row r="32" spans="9:32" x14ac:dyDescent="0.3">
      <c r="N32">
        <v>141</v>
      </c>
      <c r="O32">
        <v>170</v>
      </c>
      <c r="P32">
        <v>1</v>
      </c>
      <c r="Q32">
        <v>2</v>
      </c>
      <c r="T32">
        <v>0.5</v>
      </c>
      <c r="U32">
        <v>6.5</v>
      </c>
      <c r="V32">
        <v>0.3</v>
      </c>
      <c r="W32">
        <v>0.5</v>
      </c>
      <c r="X32">
        <v>1</v>
      </c>
      <c r="Y32">
        <v>1</v>
      </c>
      <c r="Z32" t="s">
        <v>80</v>
      </c>
      <c r="AA32">
        <v>1.56</v>
      </c>
      <c r="AB32">
        <v>0</v>
      </c>
      <c r="AC32">
        <v>9.36</v>
      </c>
      <c r="AD32" s="2">
        <v>43466.044340277796</v>
      </c>
      <c r="AE32" s="2">
        <v>43466.040104166699</v>
      </c>
      <c r="AF32">
        <v>1.42</v>
      </c>
    </row>
    <row r="33" spans="14:32" x14ac:dyDescent="0.3">
      <c r="N33">
        <v>247</v>
      </c>
      <c r="O33">
        <v>41</v>
      </c>
      <c r="P33">
        <v>1</v>
      </c>
      <c r="Q33">
        <v>2</v>
      </c>
      <c r="T33">
        <v>0.5</v>
      </c>
      <c r="U33">
        <v>9</v>
      </c>
      <c r="V33">
        <v>0.3</v>
      </c>
      <c r="W33">
        <v>0.5</v>
      </c>
      <c r="X33">
        <v>1</v>
      </c>
      <c r="Y33">
        <v>2</v>
      </c>
      <c r="Z33" t="s">
        <v>80</v>
      </c>
      <c r="AA33">
        <v>0</v>
      </c>
      <c r="AB33">
        <v>0</v>
      </c>
      <c r="AC33">
        <v>10.3</v>
      </c>
      <c r="AD33" s="2">
        <v>43466.018020833297</v>
      </c>
      <c r="AE33" s="2">
        <v>43466.011296296303</v>
      </c>
      <c r="AF33">
        <v>1.72</v>
      </c>
    </row>
    <row r="34" spans="14:32" x14ac:dyDescent="0.3">
      <c r="N34">
        <v>42</v>
      </c>
      <c r="O34">
        <v>116</v>
      </c>
      <c r="P34">
        <v>1</v>
      </c>
      <c r="Q34">
        <v>2</v>
      </c>
      <c r="T34">
        <v>0.5</v>
      </c>
      <c r="U34">
        <v>2.5</v>
      </c>
      <c r="V34">
        <v>0.3</v>
      </c>
      <c r="W34">
        <v>0.5</v>
      </c>
      <c r="X34">
        <v>1</v>
      </c>
      <c r="Y34">
        <v>2</v>
      </c>
      <c r="Z34" t="s">
        <v>80</v>
      </c>
      <c r="AA34">
        <v>0</v>
      </c>
      <c r="AB34">
        <v>0</v>
      </c>
      <c r="AC34">
        <v>3.8</v>
      </c>
      <c r="AD34" s="2">
        <v>43466.032662037003</v>
      </c>
      <c r="AE34" s="2">
        <v>43466.032442129603</v>
      </c>
      <c r="AF34">
        <v>0.06</v>
      </c>
    </row>
    <row r="35" spans="14:32" x14ac:dyDescent="0.3">
      <c r="N35">
        <v>90</v>
      </c>
      <c r="O35">
        <v>113</v>
      </c>
      <c r="P35">
        <v>1</v>
      </c>
      <c r="Q35">
        <v>1</v>
      </c>
      <c r="T35">
        <v>0.5</v>
      </c>
      <c r="U35">
        <v>7.5</v>
      </c>
      <c r="V35">
        <v>0.3</v>
      </c>
      <c r="W35">
        <v>0.5</v>
      </c>
      <c r="X35">
        <v>1</v>
      </c>
      <c r="Y35">
        <v>2</v>
      </c>
      <c r="Z35" t="s">
        <v>80</v>
      </c>
      <c r="AA35">
        <v>0</v>
      </c>
      <c r="AB35">
        <v>0</v>
      </c>
      <c r="AC35">
        <v>8.8000000000000007</v>
      </c>
      <c r="AD35" s="2">
        <v>43466.041932870401</v>
      </c>
      <c r="AE35" s="2">
        <v>43466.033344907402</v>
      </c>
      <c r="AF35">
        <v>1.5</v>
      </c>
    </row>
    <row r="36" spans="14:32" x14ac:dyDescent="0.3">
      <c r="N36">
        <v>170</v>
      </c>
      <c r="O36">
        <v>161</v>
      </c>
      <c r="P36">
        <v>1</v>
      </c>
      <c r="Q36">
        <v>1</v>
      </c>
      <c r="T36">
        <v>0.5</v>
      </c>
      <c r="U36">
        <v>10.5</v>
      </c>
      <c r="V36">
        <v>0.3</v>
      </c>
      <c r="W36">
        <v>0.5</v>
      </c>
      <c r="X36">
        <v>1</v>
      </c>
      <c r="Y36">
        <v>1</v>
      </c>
      <c r="Z36" t="s">
        <v>80</v>
      </c>
      <c r="AA36">
        <v>2.95</v>
      </c>
      <c r="AB36">
        <v>0</v>
      </c>
      <c r="AC36">
        <v>14.75</v>
      </c>
      <c r="AD36" s="2">
        <v>43466.049884259301</v>
      </c>
      <c r="AE36" s="2">
        <v>43466.038506944496</v>
      </c>
      <c r="AF36">
        <v>1.2</v>
      </c>
    </row>
    <row r="37" spans="14:32" x14ac:dyDescent="0.3">
      <c r="N37">
        <v>50</v>
      </c>
      <c r="O37">
        <v>138</v>
      </c>
      <c r="P37">
        <v>1</v>
      </c>
      <c r="Q37">
        <v>1</v>
      </c>
      <c r="T37">
        <v>0.5</v>
      </c>
      <c r="U37">
        <v>38</v>
      </c>
      <c r="V37">
        <v>0.3</v>
      </c>
      <c r="W37">
        <v>0.5</v>
      </c>
      <c r="X37">
        <v>1</v>
      </c>
      <c r="Y37">
        <v>1</v>
      </c>
      <c r="Z37" t="s">
        <v>80</v>
      </c>
      <c r="AA37">
        <v>4</v>
      </c>
      <c r="AB37">
        <v>5.76</v>
      </c>
      <c r="AC37">
        <v>49.06</v>
      </c>
      <c r="AD37" s="2">
        <v>43466.0402314815</v>
      </c>
      <c r="AE37" s="2">
        <v>43466.013831018499</v>
      </c>
      <c r="AF37">
        <v>12.3</v>
      </c>
    </row>
    <row r="38" spans="14:32" x14ac:dyDescent="0.3">
      <c r="N38">
        <v>261</v>
      </c>
      <c r="O38">
        <v>144</v>
      </c>
      <c r="P38">
        <v>1</v>
      </c>
      <c r="Q38">
        <v>1</v>
      </c>
      <c r="T38">
        <v>0.5</v>
      </c>
      <c r="U38">
        <v>7.5</v>
      </c>
      <c r="V38">
        <v>0.3</v>
      </c>
      <c r="W38">
        <v>0.5</v>
      </c>
      <c r="X38">
        <v>1</v>
      </c>
      <c r="Y38">
        <v>2</v>
      </c>
      <c r="Z38" t="s">
        <v>80</v>
      </c>
      <c r="AA38">
        <v>0</v>
      </c>
      <c r="AB38">
        <v>0</v>
      </c>
      <c r="AC38">
        <v>8.8000000000000007</v>
      </c>
      <c r="AD38" s="2">
        <v>43466.015405092599</v>
      </c>
      <c r="AE38" s="2">
        <v>43466.009641203702</v>
      </c>
      <c r="AF38">
        <v>1.3</v>
      </c>
    </row>
    <row r="39" spans="14:32" x14ac:dyDescent="0.3">
      <c r="N39">
        <v>79</v>
      </c>
      <c r="O39">
        <v>231</v>
      </c>
      <c r="P39">
        <v>1</v>
      </c>
      <c r="Q39">
        <v>1</v>
      </c>
      <c r="T39">
        <v>0.5</v>
      </c>
      <c r="U39">
        <v>10.5</v>
      </c>
      <c r="V39">
        <v>0.3</v>
      </c>
      <c r="W39">
        <v>0.5</v>
      </c>
      <c r="X39">
        <v>1</v>
      </c>
      <c r="Y39">
        <v>1</v>
      </c>
      <c r="Z39" t="s">
        <v>80</v>
      </c>
      <c r="AA39">
        <v>2</v>
      </c>
      <c r="AB39">
        <v>0</v>
      </c>
      <c r="AC39">
        <v>13.8</v>
      </c>
      <c r="AD39" s="2">
        <v>43466.027534722198</v>
      </c>
      <c r="AE39" s="2">
        <v>43466.018298611103</v>
      </c>
      <c r="AF39">
        <v>1.9</v>
      </c>
    </row>
    <row r="40" spans="14:32" x14ac:dyDescent="0.3">
      <c r="N40">
        <v>181</v>
      </c>
      <c r="O40">
        <v>107</v>
      </c>
      <c r="P40">
        <v>1</v>
      </c>
      <c r="Q40">
        <v>1</v>
      </c>
      <c r="T40">
        <v>0.5</v>
      </c>
      <c r="U40">
        <v>19</v>
      </c>
      <c r="V40">
        <v>0.3</v>
      </c>
      <c r="W40">
        <v>0.5</v>
      </c>
      <c r="X40">
        <v>1</v>
      </c>
      <c r="Y40">
        <v>2</v>
      </c>
      <c r="Z40" t="s">
        <v>80</v>
      </c>
      <c r="AA40">
        <v>0</v>
      </c>
      <c r="AB40">
        <v>0</v>
      </c>
      <c r="AC40">
        <v>20.3</v>
      </c>
      <c r="AD40" s="2">
        <v>43466.049722222197</v>
      </c>
      <c r="AE40" s="2">
        <v>43466.034791666701</v>
      </c>
      <c r="AF40">
        <v>4.5999999999999996</v>
      </c>
    </row>
    <row r="41" spans="14:32" x14ac:dyDescent="0.3">
      <c r="N41">
        <v>142</v>
      </c>
      <c r="O41">
        <v>151</v>
      </c>
      <c r="P41">
        <v>1</v>
      </c>
      <c r="Q41">
        <v>2</v>
      </c>
      <c r="T41">
        <v>0.5</v>
      </c>
      <c r="U41">
        <v>9.5</v>
      </c>
      <c r="V41">
        <v>0.3</v>
      </c>
      <c r="W41">
        <v>0.5</v>
      </c>
      <c r="X41">
        <v>1</v>
      </c>
      <c r="Y41">
        <v>2</v>
      </c>
      <c r="Z41" t="s">
        <v>80</v>
      </c>
      <c r="AA41">
        <v>0</v>
      </c>
      <c r="AB41">
        <v>0</v>
      </c>
      <c r="AC41">
        <v>10.8</v>
      </c>
      <c r="AD41" s="2">
        <v>43466.044236111098</v>
      </c>
      <c r="AE41" s="2">
        <v>43466.036539351902</v>
      </c>
      <c r="AF41">
        <v>2.1</v>
      </c>
    </row>
    <row r="42" spans="14:32" x14ac:dyDescent="0.3">
      <c r="N42">
        <v>238</v>
      </c>
      <c r="O42">
        <v>231</v>
      </c>
      <c r="P42">
        <v>1</v>
      </c>
      <c r="Q42">
        <v>2</v>
      </c>
      <c r="T42">
        <v>0.5</v>
      </c>
      <c r="U42">
        <v>24</v>
      </c>
      <c r="V42">
        <v>0.3</v>
      </c>
      <c r="W42">
        <v>0.5</v>
      </c>
      <c r="X42">
        <v>1</v>
      </c>
      <c r="Y42">
        <v>1</v>
      </c>
      <c r="Z42" t="s">
        <v>80</v>
      </c>
      <c r="AA42">
        <v>5.0599999999999996</v>
      </c>
      <c r="AB42">
        <v>0</v>
      </c>
      <c r="AC42">
        <v>30.36</v>
      </c>
      <c r="AD42" s="2">
        <v>43466.028368055602</v>
      </c>
      <c r="AE42" s="2">
        <v>43466.008159722202</v>
      </c>
      <c r="AF42">
        <v>6.57</v>
      </c>
    </row>
    <row r="43" spans="14:32" x14ac:dyDescent="0.3">
      <c r="N43">
        <v>239</v>
      </c>
      <c r="O43">
        <v>238</v>
      </c>
      <c r="P43">
        <v>2</v>
      </c>
      <c r="Q43">
        <v>2</v>
      </c>
      <c r="T43">
        <v>0</v>
      </c>
      <c r="U43">
        <v>52</v>
      </c>
      <c r="V43">
        <v>0.3</v>
      </c>
      <c r="W43">
        <v>0.5</v>
      </c>
      <c r="X43">
        <v>1</v>
      </c>
      <c r="Y43">
        <v>2</v>
      </c>
      <c r="Z43" t="s">
        <v>80</v>
      </c>
      <c r="AA43">
        <v>0</v>
      </c>
      <c r="AB43">
        <v>0</v>
      </c>
      <c r="AC43">
        <v>52.8</v>
      </c>
      <c r="AD43" s="2">
        <v>43466.034513888902</v>
      </c>
      <c r="AE43" s="2">
        <v>43466.030185185198</v>
      </c>
      <c r="AF43">
        <v>1.03</v>
      </c>
    </row>
    <row r="44" spans="14:32" x14ac:dyDescent="0.3">
      <c r="N44">
        <v>229</v>
      </c>
      <c r="O44">
        <v>264</v>
      </c>
      <c r="P44">
        <v>1</v>
      </c>
      <c r="Q44">
        <v>1</v>
      </c>
      <c r="T44">
        <v>0.5</v>
      </c>
      <c r="U44">
        <v>15</v>
      </c>
      <c r="V44">
        <v>0.3</v>
      </c>
      <c r="W44">
        <v>0.5</v>
      </c>
      <c r="X44">
        <v>1</v>
      </c>
      <c r="Y44">
        <v>1</v>
      </c>
      <c r="Z44" t="s">
        <v>80</v>
      </c>
      <c r="AA44">
        <v>3.25</v>
      </c>
      <c r="AB44">
        <v>0</v>
      </c>
      <c r="AC44">
        <v>19.55</v>
      </c>
      <c r="AD44" s="2">
        <v>43466.021261574097</v>
      </c>
      <c r="AE44" s="2">
        <v>43466.012372685203</v>
      </c>
      <c r="AF44">
        <v>4.2</v>
      </c>
    </row>
    <row r="45" spans="14:32" x14ac:dyDescent="0.3">
      <c r="N45">
        <v>83</v>
      </c>
      <c r="O45">
        <v>141</v>
      </c>
      <c r="P45">
        <v>1</v>
      </c>
      <c r="Q45">
        <v>1</v>
      </c>
      <c r="T45">
        <v>0.5</v>
      </c>
      <c r="U45">
        <v>46.5</v>
      </c>
      <c r="V45">
        <v>0.3</v>
      </c>
      <c r="W45">
        <v>0.5</v>
      </c>
      <c r="X45">
        <v>1</v>
      </c>
      <c r="Y45">
        <v>2</v>
      </c>
      <c r="Z45" t="s">
        <v>80</v>
      </c>
      <c r="AA45">
        <v>0</v>
      </c>
      <c r="AB45">
        <v>0</v>
      </c>
      <c r="AC45">
        <v>47.8</v>
      </c>
      <c r="AD45" s="2">
        <v>43466.077696759297</v>
      </c>
      <c r="AE45" s="2">
        <v>43466.0285532407</v>
      </c>
      <c r="AF45">
        <v>11.2</v>
      </c>
    </row>
    <row r="46" spans="14:32" x14ac:dyDescent="0.3">
      <c r="N46">
        <v>243</v>
      </c>
      <c r="O46">
        <v>140</v>
      </c>
      <c r="P46">
        <v>1</v>
      </c>
      <c r="Q46">
        <v>1</v>
      </c>
      <c r="T46">
        <v>0.5</v>
      </c>
      <c r="U46">
        <v>24.5</v>
      </c>
      <c r="V46">
        <v>0.3</v>
      </c>
      <c r="W46">
        <v>0.5</v>
      </c>
      <c r="X46">
        <v>1</v>
      </c>
      <c r="Y46">
        <v>2</v>
      </c>
      <c r="Z46" t="s">
        <v>80</v>
      </c>
      <c r="AA46">
        <v>0</v>
      </c>
      <c r="AB46">
        <v>0</v>
      </c>
      <c r="AC46">
        <v>25.8</v>
      </c>
      <c r="AD46" s="2">
        <v>43466.054560185199</v>
      </c>
      <c r="AE46" s="2">
        <v>43466.039953703701</v>
      </c>
      <c r="AF46">
        <v>8</v>
      </c>
    </row>
    <row r="47" spans="14:32" x14ac:dyDescent="0.3">
      <c r="N47">
        <v>75</v>
      </c>
      <c r="O47">
        <v>137</v>
      </c>
      <c r="P47">
        <v>1</v>
      </c>
      <c r="Q47">
        <v>2</v>
      </c>
      <c r="T47">
        <v>0.5</v>
      </c>
      <c r="U47">
        <v>14</v>
      </c>
      <c r="V47">
        <v>0.3</v>
      </c>
      <c r="W47">
        <v>0.5</v>
      </c>
      <c r="X47">
        <v>1</v>
      </c>
      <c r="Y47">
        <v>1</v>
      </c>
      <c r="Z47" t="s">
        <v>80</v>
      </c>
      <c r="AA47">
        <v>0</v>
      </c>
      <c r="AB47">
        <v>0</v>
      </c>
      <c r="AC47">
        <v>15.3</v>
      </c>
      <c r="AD47" s="2">
        <v>43466.028136574103</v>
      </c>
      <c r="AE47" s="2">
        <v>43466.018217592602</v>
      </c>
      <c r="AF47">
        <v>4.0999999999999996</v>
      </c>
    </row>
    <row r="48" spans="14:32" x14ac:dyDescent="0.3">
      <c r="N48">
        <v>41</v>
      </c>
      <c r="O48">
        <v>236</v>
      </c>
      <c r="P48">
        <v>1</v>
      </c>
      <c r="Q48">
        <v>2</v>
      </c>
      <c r="T48">
        <v>0.5</v>
      </c>
      <c r="U48">
        <v>10.5</v>
      </c>
      <c r="V48">
        <v>0.3</v>
      </c>
      <c r="W48">
        <v>0.5</v>
      </c>
      <c r="X48">
        <v>1</v>
      </c>
      <c r="Y48">
        <v>2</v>
      </c>
      <c r="Z48" t="s">
        <v>80</v>
      </c>
      <c r="AA48">
        <v>0</v>
      </c>
      <c r="AB48">
        <v>0</v>
      </c>
      <c r="AC48">
        <v>11.8</v>
      </c>
      <c r="AD48" s="2">
        <v>43466.038530092599</v>
      </c>
      <c r="AE48" s="2">
        <v>43466.030856481499</v>
      </c>
      <c r="AF48">
        <v>2.69</v>
      </c>
    </row>
    <row r="49" spans="14:32" x14ac:dyDescent="0.3">
      <c r="N49">
        <v>50</v>
      </c>
      <c r="O49">
        <v>41</v>
      </c>
      <c r="P49">
        <v>1</v>
      </c>
      <c r="Q49">
        <v>2</v>
      </c>
      <c r="T49">
        <v>0.5</v>
      </c>
      <c r="U49">
        <v>15.5</v>
      </c>
      <c r="V49">
        <v>0.3</v>
      </c>
      <c r="W49">
        <v>0.5</v>
      </c>
      <c r="X49">
        <v>1</v>
      </c>
      <c r="Y49">
        <v>1</v>
      </c>
      <c r="Z49" t="s">
        <v>80</v>
      </c>
      <c r="AA49">
        <v>3.36</v>
      </c>
      <c r="AB49">
        <v>0</v>
      </c>
      <c r="AC49">
        <v>20.16</v>
      </c>
      <c r="AD49" s="2">
        <v>43466.050856481503</v>
      </c>
      <c r="AE49" s="2">
        <v>43466.039988425902</v>
      </c>
      <c r="AF49">
        <v>4.3600000000000003</v>
      </c>
    </row>
    <row r="50" spans="14:32" x14ac:dyDescent="0.3">
      <c r="N50">
        <v>168</v>
      </c>
      <c r="O50">
        <v>74</v>
      </c>
      <c r="P50">
        <v>1</v>
      </c>
      <c r="Q50">
        <v>1</v>
      </c>
      <c r="T50">
        <v>0.5</v>
      </c>
      <c r="U50">
        <v>8</v>
      </c>
      <c r="V50">
        <v>0.3</v>
      </c>
      <c r="W50">
        <v>0.5</v>
      </c>
      <c r="X50">
        <v>1</v>
      </c>
      <c r="Y50">
        <v>2</v>
      </c>
      <c r="Z50" t="s">
        <v>80</v>
      </c>
      <c r="AA50">
        <v>0</v>
      </c>
      <c r="AB50">
        <v>0</v>
      </c>
      <c r="AC50">
        <v>9.3000000000000007</v>
      </c>
      <c r="AD50" s="2">
        <v>43466.019895833299</v>
      </c>
      <c r="AE50" s="2">
        <v>43466.013437499998</v>
      </c>
      <c r="AF50">
        <v>1.5</v>
      </c>
    </row>
    <row r="51" spans="14:32" x14ac:dyDescent="0.3">
      <c r="N51">
        <v>113</v>
      </c>
      <c r="O51">
        <v>249</v>
      </c>
      <c r="P51">
        <v>1</v>
      </c>
      <c r="Q51">
        <v>1</v>
      </c>
      <c r="T51">
        <v>0.5</v>
      </c>
      <c r="U51">
        <v>4.5</v>
      </c>
      <c r="V51">
        <v>0.3</v>
      </c>
      <c r="W51">
        <v>0.5</v>
      </c>
      <c r="X51">
        <v>1</v>
      </c>
      <c r="Y51">
        <v>1</v>
      </c>
      <c r="Z51" t="s">
        <v>80</v>
      </c>
      <c r="AA51">
        <v>1.1499999999999999</v>
      </c>
      <c r="AB51">
        <v>0</v>
      </c>
      <c r="AC51">
        <v>6.95</v>
      </c>
      <c r="AD51" s="2">
        <v>43466.009606481501</v>
      </c>
      <c r="AE51" s="2">
        <v>43466.007164351897</v>
      </c>
      <c r="AF51">
        <v>0.7</v>
      </c>
    </row>
    <row r="52" spans="14:32" x14ac:dyDescent="0.3">
      <c r="N52">
        <v>75</v>
      </c>
      <c r="O52">
        <v>170</v>
      </c>
      <c r="P52">
        <v>1</v>
      </c>
      <c r="Q52">
        <v>1</v>
      </c>
      <c r="T52">
        <v>0.5</v>
      </c>
      <c r="U52">
        <v>15.5</v>
      </c>
      <c r="V52">
        <v>0.3</v>
      </c>
      <c r="W52">
        <v>0.5</v>
      </c>
      <c r="X52">
        <v>1</v>
      </c>
      <c r="Y52">
        <v>2</v>
      </c>
      <c r="Z52" t="s">
        <v>80</v>
      </c>
      <c r="AA52">
        <v>0</v>
      </c>
      <c r="AB52">
        <v>0</v>
      </c>
      <c r="AC52">
        <v>16.8</v>
      </c>
      <c r="AD52" s="2">
        <v>43466.028738425899</v>
      </c>
      <c r="AE52" s="2">
        <v>43466.014756944503</v>
      </c>
      <c r="AF52">
        <v>3.6</v>
      </c>
    </row>
    <row r="53" spans="14:32" x14ac:dyDescent="0.3">
      <c r="N53">
        <v>246</v>
      </c>
      <c r="O53">
        <v>75</v>
      </c>
      <c r="P53">
        <v>1</v>
      </c>
      <c r="Q53">
        <v>1</v>
      </c>
      <c r="T53">
        <v>0.5</v>
      </c>
      <c r="U53">
        <v>25.5</v>
      </c>
      <c r="V53">
        <v>0.3</v>
      </c>
      <c r="W53">
        <v>0.5</v>
      </c>
      <c r="X53">
        <v>1</v>
      </c>
      <c r="Y53">
        <v>1</v>
      </c>
      <c r="Z53" t="s">
        <v>80</v>
      </c>
      <c r="AA53">
        <v>5.35</v>
      </c>
      <c r="AB53">
        <v>0</v>
      </c>
      <c r="AC53">
        <v>32.15</v>
      </c>
      <c r="AD53" s="2">
        <v>43466.058414351901</v>
      </c>
      <c r="AE53" s="2">
        <v>43466.031828703701</v>
      </c>
      <c r="AF53">
        <v>5.2</v>
      </c>
    </row>
    <row r="54" spans="14:32" x14ac:dyDescent="0.3">
      <c r="N54">
        <v>141</v>
      </c>
      <c r="O54">
        <v>233</v>
      </c>
      <c r="P54">
        <v>1</v>
      </c>
      <c r="Q54">
        <v>1</v>
      </c>
      <c r="T54">
        <v>0.5</v>
      </c>
      <c r="U54">
        <v>7.5</v>
      </c>
      <c r="V54">
        <v>0.3</v>
      </c>
      <c r="W54">
        <v>0.5</v>
      </c>
      <c r="X54">
        <v>1</v>
      </c>
      <c r="Y54">
        <v>1</v>
      </c>
      <c r="Z54" t="s">
        <v>80</v>
      </c>
      <c r="AA54">
        <v>2</v>
      </c>
      <c r="AB54">
        <v>0</v>
      </c>
      <c r="AC54">
        <v>10.8</v>
      </c>
      <c r="AD54" s="2">
        <v>43466.029710648101</v>
      </c>
      <c r="AE54" s="2">
        <v>43466.024953703702</v>
      </c>
      <c r="AF54">
        <v>1.7</v>
      </c>
    </row>
    <row r="55" spans="14:32" x14ac:dyDescent="0.3">
      <c r="N55">
        <v>234</v>
      </c>
      <c r="O55">
        <v>229</v>
      </c>
      <c r="P55">
        <v>1</v>
      </c>
      <c r="Q55">
        <v>1</v>
      </c>
      <c r="T55">
        <v>0.5</v>
      </c>
      <c r="U55">
        <v>10.5</v>
      </c>
      <c r="V55">
        <v>0.3</v>
      </c>
      <c r="W55">
        <v>0.5</v>
      </c>
      <c r="X55">
        <v>1</v>
      </c>
      <c r="Y55">
        <v>2</v>
      </c>
      <c r="Z55" t="s">
        <v>80</v>
      </c>
      <c r="AA55">
        <v>0</v>
      </c>
      <c r="AB55">
        <v>0</v>
      </c>
      <c r="AC55">
        <v>11.8</v>
      </c>
      <c r="AD55" s="2">
        <v>43466.046747685199</v>
      </c>
      <c r="AE55" s="2">
        <v>43466.036898148202</v>
      </c>
      <c r="AF55">
        <v>1.9</v>
      </c>
    </row>
    <row r="56" spans="14:32" x14ac:dyDescent="0.3">
      <c r="N56">
        <v>246</v>
      </c>
      <c r="O56">
        <v>148</v>
      </c>
      <c r="P56">
        <v>1</v>
      </c>
      <c r="Q56">
        <v>1</v>
      </c>
      <c r="T56">
        <v>0.5</v>
      </c>
      <c r="U56">
        <v>12</v>
      </c>
      <c r="V56">
        <v>0.3</v>
      </c>
      <c r="W56">
        <v>0.5</v>
      </c>
      <c r="X56">
        <v>1</v>
      </c>
      <c r="Y56">
        <v>2</v>
      </c>
      <c r="Z56" t="s">
        <v>80</v>
      </c>
      <c r="AA56">
        <v>0</v>
      </c>
      <c r="AB56">
        <v>0</v>
      </c>
      <c r="AC56">
        <v>13.3</v>
      </c>
      <c r="AD56" s="2">
        <v>43466.0246064815</v>
      </c>
      <c r="AE56" s="2">
        <v>43466.014999999999</v>
      </c>
      <c r="AF56">
        <v>2.6</v>
      </c>
    </row>
    <row r="57" spans="14:32" x14ac:dyDescent="0.3">
      <c r="N57">
        <v>161</v>
      </c>
      <c r="O57">
        <v>107</v>
      </c>
      <c r="P57">
        <v>1</v>
      </c>
      <c r="Q57">
        <v>2</v>
      </c>
      <c r="T57">
        <v>0.5</v>
      </c>
      <c r="U57">
        <v>11</v>
      </c>
      <c r="V57">
        <v>0.3</v>
      </c>
      <c r="W57">
        <v>0.5</v>
      </c>
      <c r="X57">
        <v>1</v>
      </c>
      <c r="Y57">
        <v>1</v>
      </c>
      <c r="Z57" t="s">
        <v>80</v>
      </c>
      <c r="AA57">
        <v>2.46</v>
      </c>
      <c r="AB57">
        <v>0</v>
      </c>
      <c r="AC57">
        <v>14.76</v>
      </c>
      <c r="AD57" s="2">
        <v>43466.017349537004</v>
      </c>
      <c r="AE57" s="2">
        <v>43466.007476851897</v>
      </c>
      <c r="AF57">
        <v>2.2599999999999998</v>
      </c>
    </row>
    <row r="58" spans="14:32" x14ac:dyDescent="0.3">
      <c r="N58">
        <v>162</v>
      </c>
      <c r="O58">
        <v>161</v>
      </c>
      <c r="P58">
        <v>1</v>
      </c>
      <c r="Q58">
        <v>2</v>
      </c>
      <c r="T58">
        <v>0.5</v>
      </c>
      <c r="U58">
        <v>5</v>
      </c>
      <c r="V58">
        <v>0.3</v>
      </c>
      <c r="W58">
        <v>0.5</v>
      </c>
      <c r="X58">
        <v>1</v>
      </c>
      <c r="Y58">
        <v>2</v>
      </c>
      <c r="Z58" t="s">
        <v>80</v>
      </c>
      <c r="AA58">
        <v>0</v>
      </c>
      <c r="AB58">
        <v>0</v>
      </c>
      <c r="AC58">
        <v>6.3</v>
      </c>
      <c r="AD58" s="2">
        <v>43466.023865740703</v>
      </c>
      <c r="AE58" s="2">
        <v>43466.021111111098</v>
      </c>
      <c r="AF58">
        <v>0.93</v>
      </c>
    </row>
    <row r="59" spans="14:32" x14ac:dyDescent="0.3">
      <c r="N59">
        <v>151</v>
      </c>
      <c r="O59">
        <v>162</v>
      </c>
      <c r="P59">
        <v>1</v>
      </c>
      <c r="Q59">
        <v>2</v>
      </c>
      <c r="T59">
        <v>0.5</v>
      </c>
      <c r="U59">
        <v>15</v>
      </c>
      <c r="V59">
        <v>0.3</v>
      </c>
      <c r="W59">
        <v>0.5</v>
      </c>
      <c r="X59">
        <v>1</v>
      </c>
      <c r="Y59">
        <v>2</v>
      </c>
      <c r="Z59" t="s">
        <v>80</v>
      </c>
      <c r="AA59">
        <v>0</v>
      </c>
      <c r="AB59">
        <v>0</v>
      </c>
      <c r="AC59">
        <v>16.3</v>
      </c>
      <c r="AD59" s="2">
        <v>43466.037256944401</v>
      </c>
      <c r="AE59" s="2">
        <v>43466.026712963001</v>
      </c>
      <c r="AF59">
        <v>4.4000000000000004</v>
      </c>
    </row>
    <row r="60" spans="14:32" x14ac:dyDescent="0.3">
      <c r="N60">
        <v>224</v>
      </c>
      <c r="O60">
        <v>132</v>
      </c>
      <c r="P60">
        <v>2</v>
      </c>
      <c r="Q60">
        <v>2</v>
      </c>
      <c r="T60">
        <v>0</v>
      </c>
      <c r="U60">
        <v>52</v>
      </c>
      <c r="V60">
        <v>0.3</v>
      </c>
      <c r="W60">
        <v>0.5</v>
      </c>
      <c r="X60">
        <v>1</v>
      </c>
      <c r="Y60">
        <v>1</v>
      </c>
      <c r="Z60" t="s">
        <v>80</v>
      </c>
      <c r="AA60">
        <v>11.71</v>
      </c>
      <c r="AB60">
        <v>5.76</v>
      </c>
      <c r="AC60">
        <v>70.27</v>
      </c>
      <c r="AD60" s="2">
        <v>43466.0516319444</v>
      </c>
      <c r="AE60" s="2">
        <v>43466.024594907401</v>
      </c>
      <c r="AF60">
        <v>18.149999999999999</v>
      </c>
    </row>
    <row r="61" spans="14:32" x14ac:dyDescent="0.3">
      <c r="N61">
        <v>48</v>
      </c>
      <c r="O61">
        <v>163</v>
      </c>
      <c r="P61">
        <v>1</v>
      </c>
      <c r="Q61">
        <v>2</v>
      </c>
      <c r="T61">
        <v>0.5</v>
      </c>
      <c r="U61">
        <v>9</v>
      </c>
      <c r="V61">
        <v>0.3</v>
      </c>
      <c r="W61">
        <v>0.5</v>
      </c>
      <c r="X61">
        <v>1</v>
      </c>
      <c r="Y61">
        <v>1</v>
      </c>
      <c r="Z61" t="s">
        <v>80</v>
      </c>
      <c r="AA61">
        <v>2.06</v>
      </c>
      <c r="AB61">
        <v>0</v>
      </c>
      <c r="AC61">
        <v>12.36</v>
      </c>
      <c r="AD61" s="2">
        <v>43466.038067129601</v>
      </c>
      <c r="AE61" s="2">
        <v>43466.029444444401</v>
      </c>
      <c r="AF61">
        <v>1.38</v>
      </c>
    </row>
    <row r="62" spans="14:32" x14ac:dyDescent="0.3">
      <c r="N62">
        <v>42</v>
      </c>
      <c r="O62">
        <v>48</v>
      </c>
      <c r="P62">
        <v>1</v>
      </c>
      <c r="Q62">
        <v>2</v>
      </c>
      <c r="T62">
        <v>0.5</v>
      </c>
      <c r="U62">
        <v>17</v>
      </c>
      <c r="V62">
        <v>0.3</v>
      </c>
      <c r="W62">
        <v>0.5</v>
      </c>
      <c r="X62">
        <v>1</v>
      </c>
      <c r="Y62">
        <v>1</v>
      </c>
      <c r="Z62" t="s">
        <v>80</v>
      </c>
      <c r="AA62">
        <v>4.58</v>
      </c>
      <c r="AB62">
        <v>0</v>
      </c>
      <c r="AC62">
        <v>22.88</v>
      </c>
      <c r="AD62" s="2">
        <v>43466.053587962997</v>
      </c>
      <c r="AE62" s="2">
        <v>43466.039837962999</v>
      </c>
      <c r="AF62">
        <v>4.55</v>
      </c>
    </row>
    <row r="63" spans="14:32" x14ac:dyDescent="0.3">
      <c r="N63">
        <v>263</v>
      </c>
      <c r="O63">
        <v>237</v>
      </c>
      <c r="P63">
        <v>1</v>
      </c>
      <c r="Q63">
        <v>2</v>
      </c>
      <c r="T63">
        <v>0.5</v>
      </c>
      <c r="U63">
        <v>9.5</v>
      </c>
      <c r="V63">
        <v>0.3</v>
      </c>
      <c r="W63">
        <v>0.5</v>
      </c>
      <c r="X63">
        <v>1</v>
      </c>
      <c r="Y63">
        <v>1</v>
      </c>
      <c r="Z63" t="s">
        <v>80</v>
      </c>
      <c r="AA63">
        <v>3.24</v>
      </c>
      <c r="AB63">
        <v>0</v>
      </c>
      <c r="AC63">
        <v>14.04</v>
      </c>
      <c r="AD63" s="2">
        <v>43466.033055555599</v>
      </c>
      <c r="AE63" s="2">
        <v>43466.0250115741</v>
      </c>
      <c r="AF63">
        <v>1.67</v>
      </c>
    </row>
    <row r="64" spans="14:32" x14ac:dyDescent="0.3">
      <c r="N64">
        <v>48</v>
      </c>
      <c r="O64">
        <v>263</v>
      </c>
      <c r="P64">
        <v>1</v>
      </c>
      <c r="Q64">
        <v>2</v>
      </c>
      <c r="T64">
        <v>0.5</v>
      </c>
      <c r="U64">
        <v>16.5</v>
      </c>
      <c r="V64">
        <v>0.3</v>
      </c>
      <c r="W64">
        <v>0.5</v>
      </c>
      <c r="X64">
        <v>1</v>
      </c>
      <c r="Y64">
        <v>1</v>
      </c>
      <c r="Z64" t="s">
        <v>80</v>
      </c>
      <c r="AA64">
        <v>2</v>
      </c>
      <c r="AB64">
        <v>0</v>
      </c>
      <c r="AC64">
        <v>19.8</v>
      </c>
      <c r="AD64" s="2">
        <v>43466.051053240699</v>
      </c>
      <c r="AE64" s="2">
        <v>43466.034293981502</v>
      </c>
      <c r="AF64">
        <v>2.68</v>
      </c>
    </row>
    <row r="65" spans="14:32" x14ac:dyDescent="0.3">
      <c r="N65">
        <v>249</v>
      </c>
      <c r="O65">
        <v>144</v>
      </c>
      <c r="P65">
        <v>1</v>
      </c>
      <c r="Q65">
        <v>1</v>
      </c>
      <c r="T65">
        <v>0.5</v>
      </c>
      <c r="U65">
        <v>6</v>
      </c>
      <c r="V65">
        <v>0.3</v>
      </c>
      <c r="W65">
        <v>0.5</v>
      </c>
      <c r="X65">
        <v>1</v>
      </c>
      <c r="Y65">
        <v>2</v>
      </c>
      <c r="Z65" t="s">
        <v>80</v>
      </c>
      <c r="AA65">
        <v>0</v>
      </c>
      <c r="AB65">
        <v>0</v>
      </c>
      <c r="AC65">
        <v>7.3</v>
      </c>
      <c r="AD65" s="2">
        <v>43466.017060185201</v>
      </c>
      <c r="AE65" s="2">
        <v>43466.012604166703</v>
      </c>
      <c r="AF65">
        <v>1</v>
      </c>
    </row>
    <row r="66" spans="14:32" x14ac:dyDescent="0.3">
      <c r="N66">
        <v>13</v>
      </c>
      <c r="O66">
        <v>249</v>
      </c>
      <c r="P66">
        <v>1</v>
      </c>
      <c r="Q66">
        <v>1</v>
      </c>
      <c r="T66">
        <v>0.5</v>
      </c>
      <c r="U66">
        <v>8</v>
      </c>
      <c r="V66">
        <v>0.3</v>
      </c>
      <c r="W66">
        <v>0.5</v>
      </c>
      <c r="X66">
        <v>1</v>
      </c>
      <c r="Y66">
        <v>1</v>
      </c>
      <c r="Z66" t="s">
        <v>80</v>
      </c>
      <c r="AA66">
        <v>2.75</v>
      </c>
      <c r="AB66">
        <v>0</v>
      </c>
      <c r="AC66">
        <v>12.05</v>
      </c>
      <c r="AD66" s="2">
        <v>43466.023738425902</v>
      </c>
      <c r="AE66" s="2">
        <v>43466.018298611103</v>
      </c>
      <c r="AF66">
        <v>1.9</v>
      </c>
    </row>
    <row r="67" spans="14:32" x14ac:dyDescent="0.3">
      <c r="N67">
        <v>151</v>
      </c>
      <c r="O67">
        <v>88</v>
      </c>
      <c r="P67">
        <v>1</v>
      </c>
      <c r="Q67">
        <v>1</v>
      </c>
      <c r="T67">
        <v>0.5</v>
      </c>
      <c r="U67">
        <v>30</v>
      </c>
      <c r="V67">
        <v>0.3</v>
      </c>
      <c r="W67">
        <v>0.5</v>
      </c>
      <c r="X67">
        <v>1</v>
      </c>
      <c r="Y67">
        <v>1</v>
      </c>
      <c r="Z67" t="s">
        <v>80</v>
      </c>
      <c r="AA67">
        <v>6.25</v>
      </c>
      <c r="AB67">
        <v>0</v>
      </c>
      <c r="AC67">
        <v>37.549999999999997</v>
      </c>
      <c r="AD67" s="2">
        <v>43466.058518518497</v>
      </c>
      <c r="AE67" s="2">
        <v>43466.038958333302</v>
      </c>
      <c r="AF67">
        <v>9.4</v>
      </c>
    </row>
    <row r="68" spans="14:32" x14ac:dyDescent="0.3">
      <c r="N68">
        <v>151</v>
      </c>
      <c r="O68">
        <v>143</v>
      </c>
      <c r="P68">
        <v>1</v>
      </c>
      <c r="Q68">
        <v>1</v>
      </c>
      <c r="T68">
        <v>0.5</v>
      </c>
      <c r="U68">
        <v>9.5</v>
      </c>
      <c r="V68">
        <v>0.3</v>
      </c>
      <c r="W68">
        <v>0.5</v>
      </c>
      <c r="X68">
        <v>1</v>
      </c>
      <c r="Y68">
        <v>1</v>
      </c>
      <c r="Z68" t="s">
        <v>80</v>
      </c>
      <c r="AA68">
        <v>2.7</v>
      </c>
      <c r="AB68">
        <v>0</v>
      </c>
      <c r="AC68">
        <v>13.5</v>
      </c>
      <c r="AD68" s="2">
        <v>43466.0203819444</v>
      </c>
      <c r="AE68" s="2">
        <v>43466.013275463003</v>
      </c>
      <c r="AF68">
        <v>1.9</v>
      </c>
    </row>
    <row r="69" spans="14:32" x14ac:dyDescent="0.3">
      <c r="N69">
        <v>238</v>
      </c>
      <c r="O69">
        <v>143</v>
      </c>
      <c r="P69">
        <v>1</v>
      </c>
      <c r="Q69">
        <v>1</v>
      </c>
      <c r="T69">
        <v>0.5</v>
      </c>
      <c r="U69">
        <v>7</v>
      </c>
      <c r="V69">
        <v>0.3</v>
      </c>
      <c r="W69">
        <v>0.5</v>
      </c>
      <c r="X69">
        <v>1</v>
      </c>
      <c r="Y69">
        <v>1</v>
      </c>
      <c r="Z69" t="s">
        <v>80</v>
      </c>
      <c r="AA69">
        <v>1.65</v>
      </c>
      <c r="AB69">
        <v>0</v>
      </c>
      <c r="AC69">
        <v>9.9499999999999993</v>
      </c>
      <c r="AD69" s="2">
        <v>43466.031064814801</v>
      </c>
      <c r="AE69" s="2">
        <v>43466.026377314804</v>
      </c>
      <c r="AF69">
        <v>1.4</v>
      </c>
    </row>
    <row r="70" spans="14:32" x14ac:dyDescent="0.3">
      <c r="N70">
        <v>239</v>
      </c>
      <c r="O70">
        <v>239</v>
      </c>
      <c r="P70">
        <v>1</v>
      </c>
      <c r="Q70">
        <v>1</v>
      </c>
      <c r="T70">
        <v>0.5</v>
      </c>
      <c r="U70">
        <v>5.5</v>
      </c>
      <c r="V70">
        <v>0.3</v>
      </c>
      <c r="W70">
        <v>0.5</v>
      </c>
      <c r="X70">
        <v>1</v>
      </c>
      <c r="Y70">
        <v>1</v>
      </c>
      <c r="Z70" t="s">
        <v>80</v>
      </c>
      <c r="AA70">
        <v>1.35</v>
      </c>
      <c r="AB70">
        <v>0</v>
      </c>
      <c r="AC70">
        <v>8.15</v>
      </c>
      <c r="AD70" s="2">
        <v>43466.038009259297</v>
      </c>
      <c r="AE70" s="2">
        <v>43466.0339467593</v>
      </c>
      <c r="AF70">
        <v>0.5</v>
      </c>
    </row>
    <row r="71" spans="14:32" x14ac:dyDescent="0.3">
      <c r="N71">
        <v>4</v>
      </c>
      <c r="O71">
        <v>249</v>
      </c>
      <c r="P71">
        <v>1</v>
      </c>
      <c r="Q71">
        <v>1</v>
      </c>
      <c r="T71">
        <v>0.5</v>
      </c>
      <c r="U71">
        <v>8.5</v>
      </c>
      <c r="V71">
        <v>0.3</v>
      </c>
      <c r="W71">
        <v>0.5</v>
      </c>
      <c r="X71">
        <v>1</v>
      </c>
      <c r="Y71">
        <v>2</v>
      </c>
      <c r="Z71" t="s">
        <v>80</v>
      </c>
      <c r="AA71">
        <v>0</v>
      </c>
      <c r="AB71">
        <v>0</v>
      </c>
      <c r="AC71">
        <v>9.8000000000000007</v>
      </c>
      <c r="AD71" s="2">
        <v>43466.006874999999</v>
      </c>
      <c r="AE71" s="2">
        <v>43466.000219907401</v>
      </c>
      <c r="AF71">
        <v>1.8</v>
      </c>
    </row>
    <row r="72" spans="14:32" x14ac:dyDescent="0.3">
      <c r="N72">
        <v>246</v>
      </c>
      <c r="O72">
        <v>4</v>
      </c>
      <c r="P72">
        <v>1</v>
      </c>
      <c r="Q72">
        <v>1</v>
      </c>
      <c r="T72">
        <v>0.5</v>
      </c>
      <c r="U72">
        <v>25</v>
      </c>
      <c r="V72">
        <v>0.3</v>
      </c>
      <c r="W72">
        <v>0.5</v>
      </c>
      <c r="X72">
        <v>1</v>
      </c>
      <c r="Y72">
        <v>2</v>
      </c>
      <c r="Z72" t="s">
        <v>80</v>
      </c>
      <c r="AA72">
        <v>0</v>
      </c>
      <c r="AB72">
        <v>0</v>
      </c>
      <c r="AC72">
        <v>26.3</v>
      </c>
      <c r="AD72" s="2">
        <v>43466.035729166702</v>
      </c>
      <c r="AE72" s="2">
        <v>43466.0075462963</v>
      </c>
      <c r="AF72">
        <v>3.8</v>
      </c>
    </row>
    <row r="73" spans="14:32" x14ac:dyDescent="0.3">
      <c r="N73">
        <v>4</v>
      </c>
      <c r="O73">
        <v>68</v>
      </c>
      <c r="P73">
        <v>1</v>
      </c>
      <c r="Q73">
        <v>1</v>
      </c>
      <c r="T73">
        <v>0.5</v>
      </c>
      <c r="U73">
        <v>19.5</v>
      </c>
      <c r="V73">
        <v>0.3</v>
      </c>
      <c r="W73">
        <v>0.5</v>
      </c>
      <c r="X73">
        <v>1</v>
      </c>
      <c r="Y73">
        <v>2</v>
      </c>
      <c r="Z73" t="s">
        <v>80</v>
      </c>
      <c r="AA73">
        <v>0</v>
      </c>
      <c r="AB73">
        <v>0</v>
      </c>
      <c r="AC73">
        <v>20.8</v>
      </c>
      <c r="AD73" s="2">
        <v>43466.056296296301</v>
      </c>
      <c r="AE73" s="2">
        <v>43466.036909722199</v>
      </c>
      <c r="AF73">
        <v>4.3</v>
      </c>
    </row>
    <row r="74" spans="14:32" x14ac:dyDescent="0.3">
      <c r="N74">
        <v>148</v>
      </c>
      <c r="O74">
        <v>90</v>
      </c>
      <c r="P74">
        <v>1</v>
      </c>
      <c r="Q74">
        <v>1</v>
      </c>
      <c r="T74">
        <v>0.5</v>
      </c>
      <c r="U74">
        <v>13</v>
      </c>
      <c r="V74">
        <v>0.3</v>
      </c>
      <c r="W74">
        <v>0.5</v>
      </c>
      <c r="X74">
        <v>1</v>
      </c>
      <c r="Y74">
        <v>2</v>
      </c>
      <c r="Z74" t="s">
        <v>80</v>
      </c>
      <c r="AA74">
        <v>0</v>
      </c>
      <c r="AB74">
        <v>0</v>
      </c>
      <c r="AC74">
        <v>14.3</v>
      </c>
      <c r="AD74" s="2">
        <v>43466.015509259298</v>
      </c>
      <c r="AE74" s="2">
        <v>43466.004502314798</v>
      </c>
      <c r="AF74">
        <v>3.1</v>
      </c>
    </row>
    <row r="75" spans="14:32" x14ac:dyDescent="0.3">
      <c r="N75">
        <v>232</v>
      </c>
      <c r="O75">
        <v>148</v>
      </c>
      <c r="P75">
        <v>1</v>
      </c>
      <c r="Q75">
        <v>1</v>
      </c>
      <c r="T75">
        <v>0.5</v>
      </c>
      <c r="U75">
        <v>4</v>
      </c>
      <c r="V75">
        <v>0.3</v>
      </c>
      <c r="W75">
        <v>0.5</v>
      </c>
      <c r="X75">
        <v>1</v>
      </c>
      <c r="Y75">
        <v>1</v>
      </c>
      <c r="Z75" t="s">
        <v>80</v>
      </c>
      <c r="AA75">
        <v>1.06</v>
      </c>
      <c r="AB75">
        <v>0</v>
      </c>
      <c r="AC75">
        <v>6.36</v>
      </c>
      <c r="AD75" s="2">
        <v>43466.022245370397</v>
      </c>
      <c r="AE75" s="2">
        <v>43466.020266203697</v>
      </c>
      <c r="AF75">
        <v>0.6</v>
      </c>
    </row>
    <row r="76" spans="14:32" x14ac:dyDescent="0.3">
      <c r="N76">
        <v>79</v>
      </c>
      <c r="O76">
        <v>232</v>
      </c>
      <c r="P76">
        <v>1</v>
      </c>
      <c r="Q76">
        <v>1</v>
      </c>
      <c r="T76">
        <v>0.5</v>
      </c>
      <c r="U76">
        <v>8</v>
      </c>
      <c r="V76">
        <v>0.3</v>
      </c>
      <c r="W76">
        <v>0.5</v>
      </c>
      <c r="X76">
        <v>1</v>
      </c>
      <c r="Y76">
        <v>1</v>
      </c>
      <c r="Z76" t="s">
        <v>80</v>
      </c>
      <c r="AA76">
        <v>1.99</v>
      </c>
      <c r="AB76">
        <v>0</v>
      </c>
      <c r="AC76">
        <v>11.29</v>
      </c>
      <c r="AD76" s="2">
        <v>43466.029155092598</v>
      </c>
      <c r="AE76" s="2">
        <v>43466.022997685199</v>
      </c>
      <c r="AF76">
        <v>1.5</v>
      </c>
    </row>
    <row r="77" spans="14:32" x14ac:dyDescent="0.3">
      <c r="N77">
        <v>141</v>
      </c>
      <c r="O77">
        <v>79</v>
      </c>
      <c r="P77">
        <v>1</v>
      </c>
      <c r="Q77">
        <v>1</v>
      </c>
      <c r="T77">
        <v>0.5</v>
      </c>
      <c r="U77">
        <v>14.5</v>
      </c>
      <c r="V77">
        <v>0.3</v>
      </c>
      <c r="W77">
        <v>0.5</v>
      </c>
      <c r="X77">
        <v>1</v>
      </c>
      <c r="Y77">
        <v>1</v>
      </c>
      <c r="Z77" t="s">
        <v>80</v>
      </c>
      <c r="AA77">
        <v>3.15</v>
      </c>
      <c r="AB77">
        <v>0</v>
      </c>
      <c r="AC77">
        <v>18.95</v>
      </c>
      <c r="AD77" s="2">
        <v>43466.042418981502</v>
      </c>
      <c r="AE77" s="2">
        <v>43466.029953703699</v>
      </c>
      <c r="AF77">
        <v>3.6</v>
      </c>
    </row>
    <row r="78" spans="14:32" x14ac:dyDescent="0.3">
      <c r="N78">
        <v>263</v>
      </c>
      <c r="O78">
        <v>79</v>
      </c>
      <c r="P78">
        <v>1</v>
      </c>
      <c r="Q78">
        <v>2</v>
      </c>
      <c r="T78">
        <v>0.5</v>
      </c>
      <c r="U78">
        <v>16</v>
      </c>
      <c r="V78">
        <v>0.3</v>
      </c>
      <c r="W78">
        <v>0.5</v>
      </c>
      <c r="X78">
        <v>1</v>
      </c>
      <c r="Y78">
        <v>1</v>
      </c>
      <c r="Z78" t="s">
        <v>80</v>
      </c>
      <c r="AA78">
        <v>3.46</v>
      </c>
      <c r="AB78">
        <v>0</v>
      </c>
      <c r="AC78">
        <v>20.76</v>
      </c>
      <c r="AD78" s="2">
        <v>43466.046365740702</v>
      </c>
      <c r="AE78" s="2">
        <v>43466.032048611101</v>
      </c>
      <c r="AF78">
        <v>4.18</v>
      </c>
    </row>
    <row r="79" spans="14:32" x14ac:dyDescent="0.3">
      <c r="N79">
        <v>233</v>
      </c>
      <c r="O79">
        <v>140</v>
      </c>
      <c r="P79">
        <v>1</v>
      </c>
      <c r="Q79">
        <v>1</v>
      </c>
      <c r="T79">
        <v>0.5</v>
      </c>
      <c r="U79">
        <v>5</v>
      </c>
      <c r="V79">
        <v>0.3</v>
      </c>
      <c r="W79">
        <v>0.5</v>
      </c>
      <c r="X79">
        <v>1</v>
      </c>
      <c r="Y79">
        <v>1</v>
      </c>
      <c r="Z79" t="s">
        <v>80</v>
      </c>
      <c r="AA79">
        <v>1</v>
      </c>
      <c r="AB79">
        <v>0</v>
      </c>
      <c r="AC79">
        <v>7.3</v>
      </c>
      <c r="AD79" s="2">
        <v>43466.013668981497</v>
      </c>
      <c r="AE79" s="2">
        <v>43466.011192129597</v>
      </c>
      <c r="AF79">
        <v>1</v>
      </c>
    </row>
    <row r="80" spans="14:32" x14ac:dyDescent="0.3">
      <c r="N80">
        <v>238</v>
      </c>
      <c r="O80">
        <v>229</v>
      </c>
      <c r="P80">
        <v>1</v>
      </c>
      <c r="Q80">
        <v>1</v>
      </c>
      <c r="T80">
        <v>0.5</v>
      </c>
      <c r="U80">
        <v>14.5</v>
      </c>
      <c r="V80">
        <v>0.3</v>
      </c>
      <c r="W80">
        <v>0.5</v>
      </c>
      <c r="X80">
        <v>1</v>
      </c>
      <c r="Y80">
        <v>1</v>
      </c>
      <c r="Z80" t="s">
        <v>80</v>
      </c>
      <c r="AA80">
        <v>4.7</v>
      </c>
      <c r="AB80">
        <v>0</v>
      </c>
      <c r="AC80">
        <v>20.5</v>
      </c>
      <c r="AD80" s="2">
        <v>43466.027557870402</v>
      </c>
      <c r="AE80" s="2">
        <v>43466.016516203701</v>
      </c>
      <c r="AF80">
        <v>3.9</v>
      </c>
    </row>
    <row r="81" spans="14:32" x14ac:dyDescent="0.3">
      <c r="N81">
        <v>236</v>
      </c>
      <c r="O81">
        <v>238</v>
      </c>
      <c r="P81">
        <v>1</v>
      </c>
      <c r="Q81">
        <v>1</v>
      </c>
      <c r="T81">
        <v>0.5</v>
      </c>
      <c r="U81">
        <v>8.5</v>
      </c>
      <c r="V81">
        <v>0.3</v>
      </c>
      <c r="W81">
        <v>0.5</v>
      </c>
      <c r="X81">
        <v>1</v>
      </c>
      <c r="Y81">
        <v>1</v>
      </c>
      <c r="Z81" t="s">
        <v>80</v>
      </c>
      <c r="AA81">
        <v>2.9</v>
      </c>
      <c r="AB81">
        <v>0</v>
      </c>
      <c r="AC81">
        <v>12.7</v>
      </c>
      <c r="AD81" s="2">
        <v>43466.036296296297</v>
      </c>
      <c r="AE81" s="2">
        <v>43466.029861111099</v>
      </c>
      <c r="AF81">
        <v>1.6</v>
      </c>
    </row>
    <row r="82" spans="14:32" x14ac:dyDescent="0.3">
      <c r="N82">
        <v>137</v>
      </c>
      <c r="O82">
        <v>263</v>
      </c>
      <c r="P82">
        <v>1</v>
      </c>
      <c r="Q82">
        <v>1</v>
      </c>
      <c r="T82">
        <v>0.5</v>
      </c>
      <c r="U82">
        <v>12</v>
      </c>
      <c r="V82">
        <v>0.3</v>
      </c>
      <c r="W82">
        <v>0.5</v>
      </c>
      <c r="X82">
        <v>1</v>
      </c>
      <c r="Y82">
        <v>2</v>
      </c>
      <c r="Z82" t="s">
        <v>80</v>
      </c>
      <c r="AA82">
        <v>0</v>
      </c>
      <c r="AB82">
        <v>0</v>
      </c>
      <c r="AC82">
        <v>13.3</v>
      </c>
      <c r="AD82" s="2">
        <v>43466.048831018503</v>
      </c>
      <c r="AE82" s="2">
        <v>43466.039085648197</v>
      </c>
      <c r="AF82">
        <v>3.1</v>
      </c>
    </row>
    <row r="83" spans="14:32" x14ac:dyDescent="0.3">
      <c r="N83">
        <v>263</v>
      </c>
      <c r="O83">
        <v>79</v>
      </c>
      <c r="P83">
        <v>1</v>
      </c>
      <c r="Q83">
        <v>1</v>
      </c>
      <c r="T83">
        <v>0.5</v>
      </c>
      <c r="U83">
        <v>17</v>
      </c>
      <c r="V83">
        <v>0.3</v>
      </c>
      <c r="W83">
        <v>0.5</v>
      </c>
      <c r="X83">
        <v>1</v>
      </c>
      <c r="Y83">
        <v>2</v>
      </c>
      <c r="Z83" t="s">
        <v>80</v>
      </c>
      <c r="AA83">
        <v>0</v>
      </c>
      <c r="AB83">
        <v>0</v>
      </c>
      <c r="AC83">
        <v>18.3</v>
      </c>
      <c r="AD83" s="2">
        <v>43466.0406828704</v>
      </c>
      <c r="AE83" s="2">
        <v>43466.0249652778</v>
      </c>
      <c r="AF83">
        <v>4.0999999999999996</v>
      </c>
    </row>
    <row r="84" spans="14:32" x14ac:dyDescent="0.3">
      <c r="N84">
        <v>181</v>
      </c>
      <c r="O84">
        <v>132</v>
      </c>
      <c r="P84">
        <v>1</v>
      </c>
      <c r="Q84">
        <v>2</v>
      </c>
      <c r="T84">
        <v>0.5</v>
      </c>
      <c r="U84">
        <v>60</v>
      </c>
      <c r="V84">
        <v>0.3</v>
      </c>
      <c r="W84">
        <v>0.5</v>
      </c>
      <c r="X84">
        <v>1</v>
      </c>
      <c r="Y84">
        <v>1</v>
      </c>
      <c r="Z84" t="s">
        <v>80</v>
      </c>
      <c r="AA84">
        <v>7</v>
      </c>
      <c r="AB84">
        <v>0</v>
      </c>
      <c r="AC84">
        <v>68.3</v>
      </c>
      <c r="AD84" s="2">
        <v>43466.706516203703</v>
      </c>
      <c r="AE84" s="2">
        <v>43465.724247685197</v>
      </c>
      <c r="AF84">
        <v>22.59</v>
      </c>
    </row>
    <row r="85" spans="14:32" x14ac:dyDescent="0.3">
      <c r="N85">
        <v>186</v>
      </c>
      <c r="O85">
        <v>186</v>
      </c>
      <c r="P85">
        <v>1</v>
      </c>
      <c r="Q85">
        <v>1</v>
      </c>
      <c r="T85">
        <v>0.5</v>
      </c>
      <c r="U85">
        <v>8</v>
      </c>
      <c r="V85">
        <v>0.3</v>
      </c>
      <c r="W85">
        <v>0.5</v>
      </c>
      <c r="X85">
        <v>1</v>
      </c>
      <c r="Y85">
        <v>2</v>
      </c>
      <c r="Z85" t="s">
        <v>81</v>
      </c>
      <c r="AA85">
        <v>0</v>
      </c>
      <c r="AB85">
        <v>0</v>
      </c>
      <c r="AC85">
        <v>9.3000000000000007</v>
      </c>
      <c r="AD85" s="2">
        <v>43466.030358796299</v>
      </c>
      <c r="AE85" s="2">
        <v>43466.022453703699</v>
      </c>
      <c r="AF85">
        <v>0.2</v>
      </c>
    </row>
    <row r="86" spans="14:32" x14ac:dyDescent="0.3">
      <c r="N86">
        <v>79</v>
      </c>
      <c r="O86">
        <v>68</v>
      </c>
      <c r="P86">
        <v>1</v>
      </c>
      <c r="Q86">
        <v>1</v>
      </c>
      <c r="T86">
        <v>0.5</v>
      </c>
      <c r="U86">
        <v>7.5</v>
      </c>
      <c r="V86">
        <v>0.3</v>
      </c>
      <c r="W86">
        <v>0.5</v>
      </c>
      <c r="X86">
        <v>1</v>
      </c>
      <c r="Y86">
        <v>1</v>
      </c>
      <c r="Z86" t="s">
        <v>80</v>
      </c>
      <c r="AA86">
        <v>1</v>
      </c>
      <c r="AB86">
        <v>0</v>
      </c>
      <c r="AC86">
        <v>9.8000000000000007</v>
      </c>
      <c r="AD86" s="2">
        <v>43466.020081018498</v>
      </c>
      <c r="AE86" s="2">
        <v>43466.013414351903</v>
      </c>
      <c r="AF86">
        <v>1.2</v>
      </c>
    </row>
    <row r="87" spans="14:32" x14ac:dyDescent="0.3">
      <c r="N87">
        <v>143</v>
      </c>
      <c r="O87">
        <v>79</v>
      </c>
      <c r="P87">
        <v>1</v>
      </c>
      <c r="Q87">
        <v>1</v>
      </c>
      <c r="T87">
        <v>0.5</v>
      </c>
      <c r="U87">
        <v>22.5</v>
      </c>
      <c r="V87">
        <v>0.3</v>
      </c>
      <c r="W87">
        <v>0.5</v>
      </c>
      <c r="X87">
        <v>1</v>
      </c>
      <c r="Y87">
        <v>1</v>
      </c>
      <c r="Z87" t="s">
        <v>80</v>
      </c>
      <c r="AA87">
        <v>4.75</v>
      </c>
      <c r="AB87">
        <v>0</v>
      </c>
      <c r="AC87">
        <v>28.55</v>
      </c>
      <c r="AD87" s="2">
        <v>43466.051678240699</v>
      </c>
      <c r="AE87" s="2">
        <v>43466.027291666702</v>
      </c>
      <c r="AF87">
        <v>5</v>
      </c>
    </row>
    <row r="88" spans="14:32" x14ac:dyDescent="0.3">
      <c r="N88">
        <v>238</v>
      </c>
      <c r="O88">
        <v>236</v>
      </c>
      <c r="P88">
        <v>1</v>
      </c>
      <c r="Q88">
        <v>2</v>
      </c>
      <c r="T88">
        <v>0.5</v>
      </c>
      <c r="U88">
        <v>8</v>
      </c>
      <c r="V88">
        <v>0.3</v>
      </c>
      <c r="W88">
        <v>0.5</v>
      </c>
      <c r="X88">
        <v>1</v>
      </c>
      <c r="Y88">
        <v>1</v>
      </c>
      <c r="Z88" t="s">
        <v>80</v>
      </c>
      <c r="AA88">
        <v>1.86</v>
      </c>
      <c r="AB88">
        <v>0</v>
      </c>
      <c r="AC88">
        <v>11.16</v>
      </c>
      <c r="AD88" s="2">
        <v>43466.021678240701</v>
      </c>
      <c r="AE88" s="2">
        <v>43466.016516203701</v>
      </c>
      <c r="AF88">
        <v>1.68</v>
      </c>
    </row>
    <row r="89" spans="14:32" x14ac:dyDescent="0.3">
      <c r="N89">
        <v>239</v>
      </c>
      <c r="O89">
        <v>238</v>
      </c>
      <c r="P89">
        <v>1</v>
      </c>
      <c r="Q89">
        <v>2</v>
      </c>
      <c r="T89">
        <v>0.5</v>
      </c>
      <c r="U89">
        <v>4.5</v>
      </c>
      <c r="V89">
        <v>0.3</v>
      </c>
      <c r="W89">
        <v>0.5</v>
      </c>
      <c r="X89">
        <v>1</v>
      </c>
      <c r="Y89">
        <v>2</v>
      </c>
      <c r="Z89" t="s">
        <v>80</v>
      </c>
      <c r="AA89">
        <v>0</v>
      </c>
      <c r="AB89">
        <v>0</v>
      </c>
      <c r="AC89">
        <v>5.8</v>
      </c>
      <c r="AD89" s="2">
        <v>43466.0258217593</v>
      </c>
      <c r="AE89" s="2">
        <v>43466.0234375</v>
      </c>
      <c r="AF89">
        <v>0.65</v>
      </c>
    </row>
    <row r="90" spans="14:32" x14ac:dyDescent="0.3">
      <c r="N90">
        <v>145</v>
      </c>
      <c r="O90">
        <v>239</v>
      </c>
      <c r="P90">
        <v>1</v>
      </c>
      <c r="Q90">
        <v>2</v>
      </c>
      <c r="T90">
        <v>0.5</v>
      </c>
      <c r="U90">
        <v>19</v>
      </c>
      <c r="V90">
        <v>0.3</v>
      </c>
      <c r="W90">
        <v>0.5</v>
      </c>
      <c r="X90">
        <v>1</v>
      </c>
      <c r="Y90">
        <v>1</v>
      </c>
      <c r="Z90" t="s">
        <v>80</v>
      </c>
      <c r="AA90">
        <v>5.08</v>
      </c>
      <c r="AB90">
        <v>0</v>
      </c>
      <c r="AC90">
        <v>25.38</v>
      </c>
      <c r="AD90" s="2">
        <v>43466.044293981497</v>
      </c>
      <c r="AE90" s="2">
        <v>43466.028391203698</v>
      </c>
      <c r="AF90">
        <v>5.15</v>
      </c>
    </row>
    <row r="91" spans="14:32" x14ac:dyDescent="0.3">
      <c r="N91">
        <v>42</v>
      </c>
      <c r="O91">
        <v>170</v>
      </c>
      <c r="P91">
        <v>1</v>
      </c>
      <c r="Q91">
        <v>2</v>
      </c>
      <c r="T91">
        <v>0.5</v>
      </c>
      <c r="U91">
        <v>21.5</v>
      </c>
      <c r="V91">
        <v>0.3</v>
      </c>
      <c r="W91">
        <v>0.5</v>
      </c>
      <c r="X91">
        <v>1</v>
      </c>
      <c r="Y91">
        <v>2</v>
      </c>
      <c r="Z91" t="s">
        <v>80</v>
      </c>
      <c r="AA91">
        <v>0</v>
      </c>
      <c r="AB91">
        <v>0</v>
      </c>
      <c r="AC91">
        <v>22.8</v>
      </c>
      <c r="AD91" s="2">
        <v>43466.042685185203</v>
      </c>
      <c r="AE91" s="2">
        <v>43466.026689814797</v>
      </c>
      <c r="AF91">
        <v>6.91</v>
      </c>
    </row>
    <row r="92" spans="14:32" x14ac:dyDescent="0.3">
      <c r="N92">
        <v>239</v>
      </c>
      <c r="O92">
        <v>161</v>
      </c>
      <c r="P92">
        <v>1</v>
      </c>
      <c r="Q92">
        <v>2</v>
      </c>
      <c r="T92">
        <v>0.5</v>
      </c>
      <c r="U92">
        <v>14.5</v>
      </c>
      <c r="V92">
        <v>0.3</v>
      </c>
      <c r="W92">
        <v>0.5</v>
      </c>
      <c r="X92">
        <v>1</v>
      </c>
      <c r="Y92">
        <v>2</v>
      </c>
      <c r="Z92" t="s">
        <v>80</v>
      </c>
      <c r="AA92">
        <v>0</v>
      </c>
      <c r="AB92">
        <v>0</v>
      </c>
      <c r="AC92">
        <v>15.8</v>
      </c>
      <c r="AD92" s="2">
        <v>43466.023136574098</v>
      </c>
      <c r="AE92" s="2">
        <v>43466.008831018502</v>
      </c>
      <c r="AF92">
        <v>3.13</v>
      </c>
    </row>
    <row r="93" spans="14:32" x14ac:dyDescent="0.3">
      <c r="N93">
        <v>48</v>
      </c>
      <c r="O93">
        <v>239</v>
      </c>
      <c r="P93">
        <v>1</v>
      </c>
      <c r="Q93">
        <v>2</v>
      </c>
      <c r="T93">
        <v>0.5</v>
      </c>
      <c r="U93">
        <v>7.5</v>
      </c>
      <c r="V93">
        <v>0.3</v>
      </c>
      <c r="W93">
        <v>0.5</v>
      </c>
      <c r="X93">
        <v>1</v>
      </c>
      <c r="Y93">
        <v>2</v>
      </c>
      <c r="Z93" t="s">
        <v>80</v>
      </c>
      <c r="AA93">
        <v>0</v>
      </c>
      <c r="AB93">
        <v>0</v>
      </c>
      <c r="AC93">
        <v>8.8000000000000007</v>
      </c>
      <c r="AD93" s="2">
        <v>43466.0301736111</v>
      </c>
      <c r="AE93" s="2">
        <v>43466.024432870399</v>
      </c>
      <c r="AF93">
        <v>1.07</v>
      </c>
    </row>
    <row r="94" spans="14:32" x14ac:dyDescent="0.3">
      <c r="N94">
        <v>48</v>
      </c>
      <c r="O94">
        <v>143</v>
      </c>
      <c r="P94">
        <v>1</v>
      </c>
      <c r="Q94">
        <v>2</v>
      </c>
      <c r="T94">
        <v>0.5</v>
      </c>
      <c r="U94">
        <v>6.5</v>
      </c>
      <c r="V94">
        <v>0.3</v>
      </c>
      <c r="W94">
        <v>0.5</v>
      </c>
      <c r="X94">
        <v>1</v>
      </c>
      <c r="Y94">
        <v>2</v>
      </c>
      <c r="Z94" t="s">
        <v>80</v>
      </c>
      <c r="AA94">
        <v>0</v>
      </c>
      <c r="AB94">
        <v>0</v>
      </c>
      <c r="AC94">
        <v>7.8</v>
      </c>
      <c r="AD94" s="2">
        <v>43466.0389236111</v>
      </c>
      <c r="AE94" s="2">
        <v>43466.033333333296</v>
      </c>
      <c r="AF94">
        <v>0.77</v>
      </c>
    </row>
    <row r="95" spans="14:32" x14ac:dyDescent="0.3">
      <c r="N95">
        <v>263</v>
      </c>
      <c r="O95">
        <v>237</v>
      </c>
      <c r="P95">
        <v>1</v>
      </c>
      <c r="Q95">
        <v>2</v>
      </c>
      <c r="T95">
        <v>0.5</v>
      </c>
      <c r="U95">
        <v>10</v>
      </c>
      <c r="V95">
        <v>0.3</v>
      </c>
      <c r="W95">
        <v>0.5</v>
      </c>
      <c r="X95">
        <v>1</v>
      </c>
      <c r="Y95">
        <v>1</v>
      </c>
      <c r="Z95" t="s">
        <v>80</v>
      </c>
      <c r="AA95">
        <v>2.2599999999999998</v>
      </c>
      <c r="AB95">
        <v>0</v>
      </c>
      <c r="AC95">
        <v>13.56</v>
      </c>
      <c r="AD95" s="2">
        <v>43466.038356481498</v>
      </c>
      <c r="AE95" s="2">
        <v>43466.029641203699</v>
      </c>
      <c r="AF95">
        <v>2.12</v>
      </c>
    </row>
    <row r="96" spans="14:32" x14ac:dyDescent="0.3">
      <c r="N96">
        <v>140</v>
      </c>
      <c r="O96">
        <v>236</v>
      </c>
      <c r="P96">
        <v>1</v>
      </c>
      <c r="Q96">
        <v>1</v>
      </c>
      <c r="T96">
        <v>0.5</v>
      </c>
      <c r="U96">
        <v>6</v>
      </c>
      <c r="V96">
        <v>0.3</v>
      </c>
      <c r="W96">
        <v>0.5</v>
      </c>
      <c r="X96">
        <v>1</v>
      </c>
      <c r="Y96">
        <v>2</v>
      </c>
      <c r="Z96" t="s">
        <v>80</v>
      </c>
      <c r="AA96">
        <v>0</v>
      </c>
      <c r="AB96">
        <v>0</v>
      </c>
      <c r="AC96">
        <v>7.3</v>
      </c>
      <c r="AD96" s="2">
        <v>43466.0363194444</v>
      </c>
      <c r="AE96" s="2">
        <v>43466.032638888901</v>
      </c>
      <c r="AF96">
        <v>1</v>
      </c>
    </row>
    <row r="97" spans="14:32" x14ac:dyDescent="0.3">
      <c r="N97">
        <v>239</v>
      </c>
      <c r="O97">
        <v>142</v>
      </c>
      <c r="P97">
        <v>1</v>
      </c>
      <c r="Q97">
        <v>2</v>
      </c>
      <c r="T97">
        <v>0.5</v>
      </c>
      <c r="U97">
        <v>4.5</v>
      </c>
      <c r="V97">
        <v>0.3</v>
      </c>
      <c r="W97">
        <v>0.5</v>
      </c>
      <c r="X97">
        <v>1</v>
      </c>
      <c r="Y97">
        <v>1</v>
      </c>
      <c r="Z97" t="s">
        <v>80</v>
      </c>
      <c r="AA97">
        <v>2</v>
      </c>
      <c r="AB97">
        <v>0</v>
      </c>
      <c r="AC97">
        <v>7.8</v>
      </c>
      <c r="AD97" s="2">
        <v>43466.0219560185</v>
      </c>
      <c r="AE97" s="2">
        <v>43466.019872685203</v>
      </c>
      <c r="AF97">
        <v>0.76</v>
      </c>
    </row>
    <row r="98" spans="14:32" x14ac:dyDescent="0.3">
      <c r="N98">
        <v>68</v>
      </c>
      <c r="O98">
        <v>239</v>
      </c>
      <c r="P98">
        <v>1</v>
      </c>
      <c r="Q98">
        <v>2</v>
      </c>
      <c r="T98">
        <v>0.5</v>
      </c>
      <c r="U98">
        <v>13.5</v>
      </c>
      <c r="V98">
        <v>0.3</v>
      </c>
      <c r="W98">
        <v>0.5</v>
      </c>
      <c r="X98">
        <v>1</v>
      </c>
      <c r="Y98">
        <v>1</v>
      </c>
      <c r="Z98" t="s">
        <v>80</v>
      </c>
      <c r="AA98">
        <v>2</v>
      </c>
      <c r="AB98">
        <v>0</v>
      </c>
      <c r="AC98">
        <v>16.8</v>
      </c>
      <c r="AD98" s="2">
        <v>43466.032453703701</v>
      </c>
      <c r="AE98" s="2">
        <v>43466.023136574098</v>
      </c>
      <c r="AF98">
        <v>3.6</v>
      </c>
    </row>
    <row r="99" spans="14:32" x14ac:dyDescent="0.3">
      <c r="N99">
        <v>198</v>
      </c>
      <c r="O99">
        <v>114</v>
      </c>
      <c r="P99">
        <v>1</v>
      </c>
      <c r="Q99">
        <v>2</v>
      </c>
      <c r="T99">
        <v>0.5</v>
      </c>
      <c r="U99">
        <v>37.5</v>
      </c>
      <c r="V99">
        <v>0.3</v>
      </c>
      <c r="W99">
        <v>0.5</v>
      </c>
      <c r="X99">
        <v>1</v>
      </c>
      <c r="Y99">
        <v>2</v>
      </c>
      <c r="Z99" t="s">
        <v>80</v>
      </c>
      <c r="AA99">
        <v>0</v>
      </c>
      <c r="AB99">
        <v>0</v>
      </c>
      <c r="AC99">
        <v>38.799999999999997</v>
      </c>
      <c r="AD99" s="2">
        <v>43466.043993055602</v>
      </c>
      <c r="AE99" s="2">
        <v>43466.0135069444</v>
      </c>
      <c r="AF99">
        <v>10.84</v>
      </c>
    </row>
    <row r="100" spans="14:32" x14ac:dyDescent="0.3">
      <c r="N100">
        <v>142</v>
      </c>
      <c r="O100">
        <v>236</v>
      </c>
      <c r="P100">
        <v>1</v>
      </c>
      <c r="Q100">
        <v>2</v>
      </c>
      <c r="T100">
        <v>0.5</v>
      </c>
      <c r="U100">
        <v>8.5</v>
      </c>
      <c r="V100">
        <v>0.3</v>
      </c>
      <c r="W100">
        <v>0.5</v>
      </c>
      <c r="X100">
        <v>1</v>
      </c>
      <c r="Y100">
        <v>2</v>
      </c>
      <c r="Z100" t="s">
        <v>80</v>
      </c>
      <c r="AA100">
        <v>0</v>
      </c>
      <c r="AB100">
        <v>0</v>
      </c>
      <c r="AC100">
        <v>9.8000000000000007</v>
      </c>
      <c r="AD100" s="2">
        <v>43466.020844907398</v>
      </c>
      <c r="AE100" s="2">
        <v>43466.0145486111</v>
      </c>
      <c r="AF100">
        <v>1.71</v>
      </c>
    </row>
    <row r="101" spans="14:32" x14ac:dyDescent="0.3">
      <c r="N101">
        <v>229</v>
      </c>
      <c r="O101">
        <v>113</v>
      </c>
      <c r="P101">
        <v>1</v>
      </c>
      <c r="Q101">
        <v>2</v>
      </c>
      <c r="T101">
        <v>0.5</v>
      </c>
      <c r="U101">
        <v>12</v>
      </c>
      <c r="V101">
        <v>0.3</v>
      </c>
      <c r="W101">
        <v>0.5</v>
      </c>
      <c r="X101">
        <v>1</v>
      </c>
      <c r="Y101">
        <v>2</v>
      </c>
      <c r="Z101" t="s">
        <v>80</v>
      </c>
      <c r="AA101">
        <v>0</v>
      </c>
      <c r="AB101">
        <v>0</v>
      </c>
      <c r="AC101">
        <v>13.3</v>
      </c>
      <c r="AD101" s="2">
        <v>43466.029664351903</v>
      </c>
      <c r="AE101" s="2">
        <v>43466.019224536998</v>
      </c>
      <c r="AF101">
        <v>2.8</v>
      </c>
    </row>
    <row r="102" spans="14:32" x14ac:dyDescent="0.3">
      <c r="N102">
        <v>262</v>
      </c>
      <c r="O102">
        <v>141</v>
      </c>
      <c r="P102">
        <v>1</v>
      </c>
      <c r="Q102">
        <v>2</v>
      </c>
      <c r="T102">
        <v>0.5</v>
      </c>
      <c r="U102">
        <v>7</v>
      </c>
      <c r="V102">
        <v>0.3</v>
      </c>
      <c r="W102">
        <v>0.5</v>
      </c>
      <c r="X102">
        <v>1</v>
      </c>
      <c r="Y102">
        <v>1</v>
      </c>
      <c r="Z102" t="s">
        <v>80</v>
      </c>
      <c r="AA102">
        <v>1.66</v>
      </c>
      <c r="AB102">
        <v>0</v>
      </c>
      <c r="AC102">
        <v>9.9600000000000009</v>
      </c>
      <c r="AD102" s="2">
        <v>43466.037233796298</v>
      </c>
      <c r="AE102" s="2">
        <v>43466.0323726852</v>
      </c>
      <c r="AF102">
        <v>1.18</v>
      </c>
    </row>
    <row r="103" spans="14:32" x14ac:dyDescent="0.3">
      <c r="N103">
        <v>79</v>
      </c>
      <c r="O103">
        <v>113</v>
      </c>
      <c r="P103">
        <v>1</v>
      </c>
      <c r="Q103">
        <v>1</v>
      </c>
      <c r="T103">
        <v>0.5</v>
      </c>
      <c r="U103">
        <v>6</v>
      </c>
      <c r="V103">
        <v>0.3</v>
      </c>
      <c r="W103">
        <v>0.5</v>
      </c>
      <c r="X103">
        <v>1</v>
      </c>
      <c r="Y103">
        <v>2</v>
      </c>
      <c r="Z103" t="s">
        <v>80</v>
      </c>
      <c r="AA103">
        <v>0</v>
      </c>
      <c r="AB103">
        <v>0</v>
      </c>
      <c r="AC103">
        <v>7.3</v>
      </c>
      <c r="AD103" s="2">
        <v>43466.038900462998</v>
      </c>
      <c r="AE103" s="2">
        <v>43466.034548611096</v>
      </c>
      <c r="AF103">
        <v>1</v>
      </c>
    </row>
    <row r="104" spans="14:32" x14ac:dyDescent="0.3">
      <c r="N104">
        <v>239</v>
      </c>
      <c r="O104">
        <v>50</v>
      </c>
      <c r="P104">
        <v>1</v>
      </c>
      <c r="Q104">
        <v>1</v>
      </c>
      <c r="T104">
        <v>0.5</v>
      </c>
      <c r="U104">
        <v>6.5</v>
      </c>
      <c r="V104">
        <v>0.3</v>
      </c>
      <c r="W104">
        <v>0.5</v>
      </c>
      <c r="X104">
        <v>1</v>
      </c>
      <c r="Y104">
        <v>1</v>
      </c>
      <c r="Z104" t="s">
        <v>80</v>
      </c>
      <c r="AA104">
        <v>1.55</v>
      </c>
      <c r="AB104">
        <v>0</v>
      </c>
      <c r="AC104">
        <v>9.35</v>
      </c>
      <c r="AD104" s="2">
        <v>43466.0296296296</v>
      </c>
      <c r="AE104" s="2">
        <v>43466.025428240697</v>
      </c>
      <c r="AF104">
        <v>1.4</v>
      </c>
    </row>
    <row r="105" spans="14:32" x14ac:dyDescent="0.3">
      <c r="N105">
        <v>228</v>
      </c>
      <c r="O105">
        <v>14</v>
      </c>
      <c r="P105">
        <v>1</v>
      </c>
      <c r="Q105">
        <v>2</v>
      </c>
      <c r="T105">
        <v>0.5</v>
      </c>
      <c r="U105">
        <v>7</v>
      </c>
      <c r="V105">
        <v>0.3</v>
      </c>
      <c r="W105">
        <v>0.5</v>
      </c>
      <c r="X105">
        <v>1</v>
      </c>
      <c r="Y105">
        <v>2</v>
      </c>
      <c r="Z105" t="s">
        <v>80</v>
      </c>
      <c r="AA105">
        <v>0</v>
      </c>
      <c r="AB105">
        <v>0</v>
      </c>
      <c r="AC105">
        <v>8.3000000000000007</v>
      </c>
      <c r="AD105" s="2">
        <v>43466.0242476852</v>
      </c>
      <c r="AE105" s="2">
        <v>43466.019583333298</v>
      </c>
      <c r="AF105">
        <v>1.43</v>
      </c>
    </row>
    <row r="106" spans="14:32" x14ac:dyDescent="0.3">
      <c r="N106">
        <v>22</v>
      </c>
      <c r="O106">
        <v>11</v>
      </c>
      <c r="P106">
        <v>1</v>
      </c>
      <c r="Q106">
        <v>2</v>
      </c>
      <c r="T106">
        <v>0.5</v>
      </c>
      <c r="U106">
        <v>6</v>
      </c>
      <c r="V106">
        <v>0.3</v>
      </c>
      <c r="W106">
        <v>0.5</v>
      </c>
      <c r="X106">
        <v>1</v>
      </c>
      <c r="Y106">
        <v>2</v>
      </c>
      <c r="Z106" t="s">
        <v>80</v>
      </c>
      <c r="AA106">
        <v>0</v>
      </c>
      <c r="AB106">
        <v>0</v>
      </c>
      <c r="AC106">
        <v>7.3</v>
      </c>
      <c r="AD106" s="2">
        <v>43466.042418981502</v>
      </c>
      <c r="AE106" s="2">
        <v>43466.038379629601</v>
      </c>
      <c r="AF106">
        <v>1</v>
      </c>
    </row>
    <row r="107" spans="14:32" x14ac:dyDescent="0.3">
      <c r="N107">
        <v>229</v>
      </c>
      <c r="O107">
        <v>161</v>
      </c>
      <c r="P107">
        <v>1</v>
      </c>
      <c r="Q107">
        <v>2</v>
      </c>
      <c r="T107">
        <v>0.5</v>
      </c>
      <c r="U107">
        <v>10.5</v>
      </c>
      <c r="V107">
        <v>0.3</v>
      </c>
      <c r="W107">
        <v>0.5</v>
      </c>
      <c r="X107">
        <v>1</v>
      </c>
      <c r="Y107">
        <v>2</v>
      </c>
      <c r="Z107" t="s">
        <v>80</v>
      </c>
      <c r="AA107">
        <v>0</v>
      </c>
      <c r="AB107">
        <v>0</v>
      </c>
      <c r="AC107">
        <v>11.8</v>
      </c>
      <c r="AD107" s="2">
        <v>43466.025081018503</v>
      </c>
      <c r="AE107" s="2">
        <v>43466.014236111099</v>
      </c>
      <c r="AF107">
        <v>1.5</v>
      </c>
    </row>
    <row r="108" spans="14:32" x14ac:dyDescent="0.3">
      <c r="N108">
        <v>43</v>
      </c>
      <c r="O108">
        <v>162</v>
      </c>
      <c r="P108">
        <v>1</v>
      </c>
      <c r="Q108">
        <v>2</v>
      </c>
      <c r="T108">
        <v>0.5</v>
      </c>
      <c r="U108">
        <v>7</v>
      </c>
      <c r="V108">
        <v>0.3</v>
      </c>
      <c r="W108">
        <v>0.5</v>
      </c>
      <c r="X108">
        <v>1</v>
      </c>
      <c r="Y108">
        <v>2</v>
      </c>
      <c r="Z108" t="s">
        <v>80</v>
      </c>
      <c r="AA108">
        <v>0</v>
      </c>
      <c r="AB108">
        <v>0</v>
      </c>
      <c r="AC108">
        <v>8.3000000000000007</v>
      </c>
      <c r="AD108" s="2">
        <v>43466.035972222198</v>
      </c>
      <c r="AE108" s="2">
        <v>43466.029745370397</v>
      </c>
      <c r="AF108">
        <v>0.72</v>
      </c>
    </row>
    <row r="109" spans="14:32" x14ac:dyDescent="0.3">
      <c r="N109">
        <v>137</v>
      </c>
      <c r="O109">
        <v>43</v>
      </c>
      <c r="P109">
        <v>1</v>
      </c>
      <c r="Q109">
        <v>2</v>
      </c>
      <c r="T109">
        <v>0.5</v>
      </c>
      <c r="U109">
        <v>13</v>
      </c>
      <c r="V109">
        <v>0.3</v>
      </c>
      <c r="W109">
        <v>0.5</v>
      </c>
      <c r="X109">
        <v>1</v>
      </c>
      <c r="Y109">
        <v>1</v>
      </c>
      <c r="Z109" t="s">
        <v>80</v>
      </c>
      <c r="AA109">
        <v>2.14</v>
      </c>
      <c r="AB109">
        <v>0</v>
      </c>
      <c r="AC109">
        <v>16.440000000000001</v>
      </c>
      <c r="AD109" s="2">
        <v>43467.035972222198</v>
      </c>
      <c r="AE109" s="2">
        <v>43466.037256944401</v>
      </c>
      <c r="AF109">
        <v>2.6</v>
      </c>
    </row>
    <row r="110" spans="14:32" x14ac:dyDescent="0.3">
      <c r="N110">
        <v>237</v>
      </c>
      <c r="O110">
        <v>236</v>
      </c>
      <c r="P110">
        <v>1</v>
      </c>
      <c r="Q110">
        <v>1</v>
      </c>
      <c r="T110">
        <v>0.5</v>
      </c>
      <c r="U110">
        <v>7</v>
      </c>
      <c r="V110">
        <v>0.3</v>
      </c>
      <c r="W110">
        <v>0.5</v>
      </c>
      <c r="X110">
        <v>1</v>
      </c>
      <c r="Y110">
        <v>1</v>
      </c>
      <c r="Z110" t="s">
        <v>80</v>
      </c>
      <c r="AA110">
        <v>1.65</v>
      </c>
      <c r="AB110">
        <v>0</v>
      </c>
      <c r="AC110">
        <v>9.9499999999999993</v>
      </c>
      <c r="AD110" s="2">
        <v>43466.016157407401</v>
      </c>
      <c r="AE110" s="2">
        <v>43466.011493055601</v>
      </c>
      <c r="AF110">
        <v>1.5</v>
      </c>
    </row>
    <row r="111" spans="14:32" x14ac:dyDescent="0.3">
      <c r="N111">
        <v>140</v>
      </c>
      <c r="O111">
        <v>237</v>
      </c>
      <c r="P111">
        <v>1</v>
      </c>
      <c r="Q111">
        <v>1</v>
      </c>
      <c r="T111">
        <v>0.5</v>
      </c>
      <c r="U111">
        <v>6</v>
      </c>
      <c r="V111">
        <v>0.3</v>
      </c>
      <c r="W111">
        <v>0.5</v>
      </c>
      <c r="X111">
        <v>1</v>
      </c>
      <c r="Y111">
        <v>2</v>
      </c>
      <c r="Z111" t="s">
        <v>80</v>
      </c>
      <c r="AA111">
        <v>0</v>
      </c>
      <c r="AB111">
        <v>0</v>
      </c>
      <c r="AC111">
        <v>7.3</v>
      </c>
      <c r="AD111" s="2">
        <v>43466.020983796298</v>
      </c>
      <c r="AE111" s="2">
        <v>43466.017164351899</v>
      </c>
      <c r="AF111">
        <v>1</v>
      </c>
    </row>
    <row r="112" spans="14:32" x14ac:dyDescent="0.3">
      <c r="N112">
        <v>237</v>
      </c>
      <c r="O112">
        <v>140</v>
      </c>
      <c r="P112">
        <v>1</v>
      </c>
      <c r="Q112">
        <v>1</v>
      </c>
      <c r="T112">
        <v>0.5</v>
      </c>
      <c r="U112">
        <v>5</v>
      </c>
      <c r="V112">
        <v>0.3</v>
      </c>
      <c r="W112">
        <v>0.5</v>
      </c>
      <c r="X112">
        <v>1</v>
      </c>
      <c r="Y112">
        <v>1</v>
      </c>
      <c r="Z112" t="s">
        <v>80</v>
      </c>
      <c r="AA112">
        <v>1.25</v>
      </c>
      <c r="AB112">
        <v>0</v>
      </c>
      <c r="AC112">
        <v>7.55</v>
      </c>
      <c r="AD112" s="2">
        <v>43466.026932870402</v>
      </c>
      <c r="AE112" s="2">
        <v>43466.023819444497</v>
      </c>
      <c r="AF112">
        <v>0.6</v>
      </c>
    </row>
    <row r="113" spans="14:32" x14ac:dyDescent="0.3">
      <c r="N113">
        <v>238</v>
      </c>
      <c r="O113">
        <v>237</v>
      </c>
      <c r="P113">
        <v>1</v>
      </c>
      <c r="Q113">
        <v>1</v>
      </c>
      <c r="T113">
        <v>0.5</v>
      </c>
      <c r="U113">
        <v>9.5</v>
      </c>
      <c r="V113">
        <v>0.3</v>
      </c>
      <c r="W113">
        <v>0.5</v>
      </c>
      <c r="X113">
        <v>1</v>
      </c>
      <c r="Y113">
        <v>1</v>
      </c>
      <c r="Z113" t="s">
        <v>80</v>
      </c>
      <c r="AA113">
        <v>3.2</v>
      </c>
      <c r="AB113">
        <v>0</v>
      </c>
      <c r="AC113">
        <v>14</v>
      </c>
      <c r="AD113" s="2">
        <v>43466.035428240699</v>
      </c>
      <c r="AE113" s="2">
        <v>43466.027719907397</v>
      </c>
      <c r="AF113">
        <v>1.9</v>
      </c>
    </row>
    <row r="114" spans="14:32" x14ac:dyDescent="0.3">
      <c r="N114">
        <v>237</v>
      </c>
      <c r="O114">
        <v>238</v>
      </c>
      <c r="P114">
        <v>1</v>
      </c>
      <c r="Q114">
        <v>1</v>
      </c>
      <c r="T114">
        <v>0.5</v>
      </c>
      <c r="U114">
        <v>8</v>
      </c>
      <c r="V114">
        <v>0.3</v>
      </c>
      <c r="W114">
        <v>0.5</v>
      </c>
      <c r="X114">
        <v>1</v>
      </c>
      <c r="Y114">
        <v>1</v>
      </c>
      <c r="Z114" t="s">
        <v>80</v>
      </c>
      <c r="AA114">
        <v>1.85</v>
      </c>
      <c r="AB114">
        <v>0</v>
      </c>
      <c r="AC114">
        <v>11.15</v>
      </c>
      <c r="AD114" s="2">
        <v>43466.041574074101</v>
      </c>
      <c r="AE114" s="2">
        <v>43466.036655092597</v>
      </c>
      <c r="AF114">
        <v>1.9</v>
      </c>
    </row>
    <row r="115" spans="14:32" x14ac:dyDescent="0.3">
      <c r="N115">
        <v>107</v>
      </c>
      <c r="O115">
        <v>162</v>
      </c>
      <c r="P115">
        <v>1</v>
      </c>
      <c r="Q115">
        <v>1</v>
      </c>
      <c r="T115">
        <v>0.5</v>
      </c>
      <c r="U115">
        <v>9.5</v>
      </c>
      <c r="V115">
        <v>0.3</v>
      </c>
      <c r="W115">
        <v>0.5</v>
      </c>
      <c r="X115">
        <v>1</v>
      </c>
      <c r="Y115">
        <v>1</v>
      </c>
      <c r="Z115" t="s">
        <v>80</v>
      </c>
      <c r="AA115">
        <v>2.15</v>
      </c>
      <c r="AB115">
        <v>0</v>
      </c>
      <c r="AC115">
        <v>12.95</v>
      </c>
      <c r="AD115" s="2">
        <v>43466.026041666701</v>
      </c>
      <c r="AE115" s="2">
        <v>43466.017164351899</v>
      </c>
      <c r="AF115">
        <v>1.3</v>
      </c>
    </row>
    <row r="116" spans="14:32" x14ac:dyDescent="0.3">
      <c r="N116">
        <v>79</v>
      </c>
      <c r="O116">
        <v>107</v>
      </c>
      <c r="P116">
        <v>1</v>
      </c>
      <c r="Q116">
        <v>1</v>
      </c>
      <c r="T116">
        <v>0.5</v>
      </c>
      <c r="U116">
        <v>6.5</v>
      </c>
      <c r="V116">
        <v>0.3</v>
      </c>
      <c r="W116">
        <v>0.5</v>
      </c>
      <c r="X116">
        <v>1</v>
      </c>
      <c r="Y116">
        <v>1</v>
      </c>
      <c r="Z116" t="s">
        <v>80</v>
      </c>
      <c r="AA116">
        <v>1.55</v>
      </c>
      <c r="AB116">
        <v>0</v>
      </c>
      <c r="AC116">
        <v>9.35</v>
      </c>
      <c r="AD116" s="2">
        <v>43466.038379629601</v>
      </c>
      <c r="AE116" s="2">
        <v>43466.032893518503</v>
      </c>
      <c r="AF116">
        <v>0.8</v>
      </c>
    </row>
    <row r="117" spans="14:32" x14ac:dyDescent="0.3">
      <c r="N117">
        <v>142</v>
      </c>
      <c r="O117">
        <v>113</v>
      </c>
      <c r="P117">
        <v>1</v>
      </c>
      <c r="Q117">
        <v>1</v>
      </c>
      <c r="T117">
        <v>0.5</v>
      </c>
      <c r="U117">
        <v>19.5</v>
      </c>
      <c r="V117">
        <v>0.3</v>
      </c>
      <c r="W117">
        <v>0.5</v>
      </c>
      <c r="X117">
        <v>1</v>
      </c>
      <c r="Y117">
        <v>1</v>
      </c>
      <c r="Z117" t="s">
        <v>80</v>
      </c>
      <c r="AA117">
        <v>4.1500000000000004</v>
      </c>
      <c r="AB117">
        <v>0</v>
      </c>
      <c r="AC117">
        <v>24.95</v>
      </c>
      <c r="AD117" s="2">
        <v>43466.061481481498</v>
      </c>
      <c r="AE117" s="2">
        <v>43466.041388888902</v>
      </c>
      <c r="AF117">
        <v>3.8</v>
      </c>
    </row>
    <row r="118" spans="14:32" x14ac:dyDescent="0.3">
      <c r="N118">
        <v>137</v>
      </c>
      <c r="O118">
        <v>161</v>
      </c>
      <c r="P118">
        <v>1</v>
      </c>
      <c r="Q118">
        <v>1</v>
      </c>
      <c r="T118">
        <v>0.5</v>
      </c>
      <c r="U118">
        <v>7</v>
      </c>
      <c r="V118">
        <v>0.3</v>
      </c>
      <c r="W118">
        <v>0.5</v>
      </c>
      <c r="X118">
        <v>1</v>
      </c>
      <c r="Y118">
        <v>1</v>
      </c>
      <c r="Z118" t="s">
        <v>80</v>
      </c>
      <c r="AA118">
        <v>0</v>
      </c>
      <c r="AB118">
        <v>0</v>
      </c>
      <c r="AC118">
        <v>8.3000000000000007</v>
      </c>
      <c r="AD118" s="2">
        <v>43466.017731481501</v>
      </c>
      <c r="AE118" s="2">
        <v>43466.012546296297</v>
      </c>
      <c r="AF118">
        <v>1.3</v>
      </c>
    </row>
    <row r="119" spans="14:32" x14ac:dyDescent="0.3">
      <c r="N119">
        <v>231</v>
      </c>
      <c r="O119">
        <v>13</v>
      </c>
      <c r="P119">
        <v>1</v>
      </c>
      <c r="Q119">
        <v>2</v>
      </c>
      <c r="T119">
        <v>0.5</v>
      </c>
      <c r="U119">
        <v>7</v>
      </c>
      <c r="V119">
        <v>0.3</v>
      </c>
      <c r="W119">
        <v>0.5</v>
      </c>
      <c r="X119">
        <v>1</v>
      </c>
      <c r="Y119">
        <v>1</v>
      </c>
      <c r="Z119" t="s">
        <v>80</v>
      </c>
      <c r="AA119">
        <v>0</v>
      </c>
      <c r="AB119">
        <v>0</v>
      </c>
      <c r="AC119">
        <v>8.3000000000000007</v>
      </c>
      <c r="AD119" s="2">
        <v>43466.018171296302</v>
      </c>
      <c r="AE119" s="2">
        <v>43466.012499999997</v>
      </c>
      <c r="AF119">
        <v>1.1100000000000001</v>
      </c>
    </row>
    <row r="120" spans="14:32" x14ac:dyDescent="0.3">
      <c r="N120">
        <v>238</v>
      </c>
      <c r="O120">
        <v>113</v>
      </c>
      <c r="P120">
        <v>1</v>
      </c>
      <c r="Q120">
        <v>2</v>
      </c>
      <c r="T120">
        <v>0.5</v>
      </c>
      <c r="U120">
        <v>24</v>
      </c>
      <c r="V120">
        <v>0.3</v>
      </c>
      <c r="W120">
        <v>0.5</v>
      </c>
      <c r="X120">
        <v>1</v>
      </c>
      <c r="Y120">
        <v>1</v>
      </c>
      <c r="Z120" t="s">
        <v>80</v>
      </c>
      <c r="AA120">
        <v>5.0599999999999996</v>
      </c>
      <c r="AB120">
        <v>0</v>
      </c>
      <c r="AC120">
        <v>30.36</v>
      </c>
      <c r="AD120" s="2">
        <v>43466.0467361111</v>
      </c>
      <c r="AE120" s="2">
        <v>43466.023206018501</v>
      </c>
      <c r="AF120">
        <v>5.63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20"/>
  <sheetViews>
    <sheetView zoomScaleNormal="100" workbookViewId="0"/>
  </sheetViews>
  <sheetFormatPr defaultColWidth="8.4414062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e">
        <v>#VALUE!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24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</row>
    <row r="2" spans="1:32" x14ac:dyDescent="0.3">
      <c r="A2" t="s">
        <v>82</v>
      </c>
      <c r="B2">
        <v>163.92367487197001</v>
      </c>
      <c r="C2">
        <v>166.44434892749999</v>
      </c>
      <c r="D2">
        <v>170.249768516714</v>
      </c>
      <c r="E2">
        <v>197.610068329028</v>
      </c>
      <c r="F2">
        <v>9.0841693887472292</v>
      </c>
      <c r="G2">
        <v>15</v>
      </c>
    </row>
    <row r="4" spans="1:32" x14ac:dyDescent="0.3">
      <c r="I4" t="s">
        <v>12</v>
      </c>
      <c r="K4" t="b">
        <f>FALSE()</f>
        <v>0</v>
      </c>
    </row>
    <row r="5" spans="1:32" x14ac:dyDescent="0.3">
      <c r="I5">
        <v>2</v>
      </c>
      <c r="J5">
        <v>172.41270972503099</v>
      </c>
      <c r="K5" t="b">
        <f>TRUE()</f>
        <v>1</v>
      </c>
    </row>
    <row r="6" spans="1:32" x14ac:dyDescent="0.3">
      <c r="I6">
        <v>3</v>
      </c>
      <c r="J6">
        <v>165.61048770102201</v>
      </c>
      <c r="K6" t="b">
        <f>TRUE()</f>
        <v>1</v>
      </c>
    </row>
    <row r="7" spans="1:32" x14ac:dyDescent="0.3">
      <c r="I7">
        <v>4</v>
      </c>
      <c r="J7">
        <v>166.467532748997</v>
      </c>
      <c r="K7" t="b">
        <f>TRUE()</f>
        <v>1</v>
      </c>
    </row>
    <row r="8" spans="1:32" x14ac:dyDescent="0.3">
      <c r="I8">
        <v>5</v>
      </c>
      <c r="J8">
        <v>164.304596344999</v>
      </c>
      <c r="K8" t="b">
        <f>TRUE()</f>
        <v>1</v>
      </c>
    </row>
    <row r="9" spans="1:32" x14ac:dyDescent="0.3">
      <c r="I9">
        <v>6</v>
      </c>
      <c r="J9">
        <v>197.610068329028</v>
      </c>
      <c r="K9" t="b">
        <f>TRUE()</f>
        <v>1</v>
      </c>
    </row>
    <row r="10" spans="1:32" x14ac:dyDescent="0.3">
      <c r="I10">
        <v>7</v>
      </c>
      <c r="J10">
        <v>166.059173700982</v>
      </c>
      <c r="K10" t="b">
        <f>TRUE()</f>
        <v>1</v>
      </c>
    </row>
    <row r="11" spans="1:32" x14ac:dyDescent="0.3">
      <c r="I11">
        <v>8</v>
      </c>
      <c r="J11">
        <v>168.21496105199901</v>
      </c>
      <c r="K11" t="b">
        <f>TRUE()</f>
        <v>1</v>
      </c>
    </row>
    <row r="12" spans="1:32" x14ac:dyDescent="0.3">
      <c r="I12">
        <v>9</v>
      </c>
      <c r="J12">
        <v>168.57452111301299</v>
      </c>
      <c r="K12" t="b">
        <f>TRUE()</f>
        <v>1</v>
      </c>
    </row>
    <row r="13" spans="1:32" x14ac:dyDescent="0.3">
      <c r="I13">
        <v>10</v>
      </c>
      <c r="J13">
        <v>171.286629979964</v>
      </c>
      <c r="K13" t="b">
        <f>TRUE()</f>
        <v>1</v>
      </c>
    </row>
    <row r="14" spans="1:32" x14ac:dyDescent="0.3">
      <c r="I14">
        <v>11</v>
      </c>
      <c r="J14">
        <v>165.57104569696801</v>
      </c>
      <c r="K14" t="b">
        <f>TRUE()</f>
        <v>1</v>
      </c>
    </row>
    <row r="15" spans="1:32" x14ac:dyDescent="0.3">
      <c r="I15">
        <v>12</v>
      </c>
      <c r="J15">
        <v>165.62044943298699</v>
      </c>
      <c r="K15" t="b">
        <f>TRUE()</f>
        <v>1</v>
      </c>
    </row>
    <row r="16" spans="1:32" x14ac:dyDescent="0.3">
      <c r="I16">
        <v>13</v>
      </c>
      <c r="J16">
        <v>181.41974343103399</v>
      </c>
      <c r="K16" t="b">
        <f>TRUE()</f>
        <v>1</v>
      </c>
    </row>
    <row r="17" spans="9:32" x14ac:dyDescent="0.3">
      <c r="I17">
        <v>14</v>
      </c>
      <c r="J17">
        <v>166.421165106003</v>
      </c>
      <c r="K17" t="b">
        <f>TRUE()</f>
        <v>1</v>
      </c>
    </row>
    <row r="18" spans="9:32" x14ac:dyDescent="0.3">
      <c r="I18">
        <v>15</v>
      </c>
      <c r="J18">
        <v>163.92367487197001</v>
      </c>
      <c r="K18" t="b">
        <f>TRUE()</f>
        <v>1</v>
      </c>
    </row>
    <row r="21" spans="9:32" x14ac:dyDescent="0.3">
      <c r="N21">
        <v>231</v>
      </c>
      <c r="O21">
        <v>163</v>
      </c>
      <c r="P21">
        <v>1</v>
      </c>
      <c r="Q21">
        <v>2</v>
      </c>
      <c r="R21">
        <v>0</v>
      </c>
      <c r="S21">
        <v>2.5</v>
      </c>
      <c r="T21">
        <v>0</v>
      </c>
      <c r="U21">
        <v>22.5</v>
      </c>
      <c r="V21">
        <v>0.3</v>
      </c>
      <c r="W21">
        <v>0.5</v>
      </c>
      <c r="X21">
        <v>5</v>
      </c>
      <c r="Y21">
        <v>2</v>
      </c>
      <c r="Z21" t="s">
        <v>80</v>
      </c>
      <c r="AA21">
        <v>0</v>
      </c>
      <c r="AB21">
        <v>0</v>
      </c>
      <c r="AC21">
        <v>25.8</v>
      </c>
      <c r="AD21" s="2">
        <v>72574.119490740806</v>
      </c>
      <c r="AE21" s="2">
        <v>72574.099664351801</v>
      </c>
      <c r="AF21">
        <v>4.95</v>
      </c>
    </row>
    <row r="22" spans="9:32" x14ac:dyDescent="0.3">
      <c r="N22">
        <v>163</v>
      </c>
      <c r="O22">
        <v>132</v>
      </c>
      <c r="P22">
        <v>2</v>
      </c>
      <c r="Q22">
        <v>2</v>
      </c>
      <c r="S22">
        <v>2.5</v>
      </c>
      <c r="T22">
        <v>0</v>
      </c>
      <c r="U22">
        <v>52</v>
      </c>
      <c r="V22">
        <v>0.3</v>
      </c>
      <c r="W22">
        <v>0.5</v>
      </c>
      <c r="X22">
        <v>2</v>
      </c>
      <c r="Y22">
        <v>2</v>
      </c>
      <c r="Z22" t="s">
        <v>80</v>
      </c>
      <c r="AA22">
        <v>0</v>
      </c>
      <c r="AB22">
        <v>6.12</v>
      </c>
      <c r="AC22">
        <v>61.42</v>
      </c>
      <c r="AD22" s="2">
        <v>69763.304733796307</v>
      </c>
      <c r="AE22" s="2">
        <v>69763.278773148195</v>
      </c>
      <c r="AF22">
        <v>18.600000000000001</v>
      </c>
    </row>
    <row r="23" spans="9:32" x14ac:dyDescent="0.3">
      <c r="N23">
        <v>162</v>
      </c>
      <c r="O23">
        <v>24</v>
      </c>
      <c r="P23">
        <v>1</v>
      </c>
      <c r="Q23">
        <v>2</v>
      </c>
      <c r="T23">
        <v>0</v>
      </c>
      <c r="U23">
        <v>14.5</v>
      </c>
      <c r="V23">
        <v>0.3</v>
      </c>
      <c r="W23">
        <v>0.5</v>
      </c>
      <c r="X23">
        <v>1</v>
      </c>
      <c r="Y23">
        <v>2</v>
      </c>
      <c r="Z23" t="s">
        <v>80</v>
      </c>
      <c r="AA23">
        <v>0</v>
      </c>
      <c r="AB23">
        <v>0</v>
      </c>
      <c r="AC23">
        <v>15.3</v>
      </c>
      <c r="AD23" s="2">
        <v>68691.311400463004</v>
      </c>
      <c r="AE23" s="2">
        <v>68691.017812499995</v>
      </c>
      <c r="AF23">
        <v>4.05</v>
      </c>
    </row>
    <row r="24" spans="9:32" x14ac:dyDescent="0.3">
      <c r="N24">
        <v>166</v>
      </c>
      <c r="O24">
        <v>41</v>
      </c>
      <c r="P24">
        <v>1</v>
      </c>
      <c r="Q24">
        <v>2</v>
      </c>
      <c r="T24">
        <v>0</v>
      </c>
      <c r="U24">
        <v>4.5</v>
      </c>
      <c r="V24">
        <v>0.3</v>
      </c>
      <c r="W24">
        <v>0.5</v>
      </c>
      <c r="X24">
        <v>1</v>
      </c>
      <c r="Y24">
        <v>2</v>
      </c>
      <c r="Z24" t="s">
        <v>80</v>
      </c>
      <c r="AA24">
        <v>0</v>
      </c>
      <c r="AB24">
        <v>0</v>
      </c>
      <c r="AC24">
        <v>5.3</v>
      </c>
      <c r="AD24" s="2">
        <v>68691.013726851801</v>
      </c>
      <c r="AE24" s="2">
        <v>68691.010902777794</v>
      </c>
      <c r="AF24">
        <v>0.63</v>
      </c>
    </row>
    <row r="25" spans="9:32" x14ac:dyDescent="0.3">
      <c r="N25">
        <v>193</v>
      </c>
      <c r="O25">
        <v>193</v>
      </c>
      <c r="P25">
        <v>1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 t="s">
        <v>80</v>
      </c>
      <c r="AA25">
        <v>0</v>
      </c>
      <c r="AB25">
        <v>0</v>
      </c>
      <c r="AC25">
        <v>0</v>
      </c>
      <c r="AD25" s="2">
        <v>62335.723055555602</v>
      </c>
      <c r="AE25" s="2">
        <v>62334.925509259301</v>
      </c>
      <c r="AF25">
        <v>0</v>
      </c>
    </row>
    <row r="26" spans="9:32" x14ac:dyDescent="0.3">
      <c r="N26">
        <v>132</v>
      </c>
      <c r="O26">
        <v>233</v>
      </c>
      <c r="P26">
        <v>2</v>
      </c>
      <c r="Q26">
        <v>2</v>
      </c>
      <c r="S26">
        <v>2.5</v>
      </c>
      <c r="T26">
        <v>0</v>
      </c>
      <c r="U26">
        <v>52</v>
      </c>
      <c r="V26">
        <v>0.3</v>
      </c>
      <c r="W26">
        <v>0.5</v>
      </c>
      <c r="X26">
        <v>2</v>
      </c>
      <c r="Y26">
        <v>2</v>
      </c>
      <c r="Z26" t="s">
        <v>80</v>
      </c>
      <c r="AA26">
        <v>0</v>
      </c>
      <c r="AB26">
        <v>6.12</v>
      </c>
      <c r="AC26">
        <v>61.42</v>
      </c>
      <c r="AD26" s="2">
        <v>60983.704826388901</v>
      </c>
      <c r="AE26" s="2">
        <v>60983.689803240697</v>
      </c>
      <c r="AF26">
        <v>16.14</v>
      </c>
    </row>
    <row r="27" spans="9:32" x14ac:dyDescent="0.3">
      <c r="N27">
        <v>162</v>
      </c>
      <c r="O27">
        <v>142</v>
      </c>
      <c r="P27">
        <v>1</v>
      </c>
      <c r="Q27">
        <v>2</v>
      </c>
      <c r="S27">
        <v>2.5</v>
      </c>
      <c r="T27">
        <v>0</v>
      </c>
      <c r="U27">
        <v>8.5</v>
      </c>
      <c r="V27">
        <v>0.3</v>
      </c>
      <c r="W27">
        <v>0.5</v>
      </c>
      <c r="X27">
        <v>1</v>
      </c>
      <c r="Y27">
        <v>2</v>
      </c>
      <c r="Z27" t="s">
        <v>80</v>
      </c>
      <c r="AA27">
        <v>0</v>
      </c>
      <c r="AB27">
        <v>0</v>
      </c>
      <c r="AC27">
        <v>11.8</v>
      </c>
      <c r="AD27" s="2">
        <v>58046.867222222201</v>
      </c>
      <c r="AE27" s="2">
        <v>58046.857731481497</v>
      </c>
      <c r="AF27">
        <v>1.26</v>
      </c>
    </row>
    <row r="28" spans="9:32" x14ac:dyDescent="0.3">
      <c r="N28">
        <v>161</v>
      </c>
      <c r="O28">
        <v>186</v>
      </c>
      <c r="P28">
        <v>1</v>
      </c>
      <c r="Q28">
        <v>2</v>
      </c>
      <c r="S28">
        <v>2.5</v>
      </c>
      <c r="T28">
        <v>0.5</v>
      </c>
      <c r="U28">
        <v>8</v>
      </c>
      <c r="V28">
        <v>0.3</v>
      </c>
      <c r="W28">
        <v>0.5</v>
      </c>
      <c r="X28">
        <v>1</v>
      </c>
      <c r="Y28">
        <v>1</v>
      </c>
      <c r="Z28" t="s">
        <v>80</v>
      </c>
      <c r="AA28">
        <v>1.77</v>
      </c>
      <c r="AB28">
        <v>0</v>
      </c>
      <c r="AC28">
        <v>13.57</v>
      </c>
      <c r="AD28" s="2">
        <v>58046.846631944398</v>
      </c>
      <c r="AE28" s="2">
        <v>58046.840960648202</v>
      </c>
      <c r="AF28">
        <v>1.6</v>
      </c>
    </row>
    <row r="29" spans="9:32" x14ac:dyDescent="0.3">
      <c r="N29">
        <v>163</v>
      </c>
      <c r="O29">
        <v>237</v>
      </c>
      <c r="P29">
        <v>1</v>
      </c>
      <c r="Q29">
        <v>2</v>
      </c>
      <c r="S29">
        <v>2.5</v>
      </c>
      <c r="T29">
        <v>0.5</v>
      </c>
      <c r="U29">
        <v>5</v>
      </c>
      <c r="V29">
        <v>0.3</v>
      </c>
      <c r="W29">
        <v>0.5</v>
      </c>
      <c r="X29">
        <v>1</v>
      </c>
      <c r="Y29">
        <v>2</v>
      </c>
      <c r="Z29" t="s">
        <v>80</v>
      </c>
      <c r="AA29">
        <v>0</v>
      </c>
      <c r="AB29">
        <v>0</v>
      </c>
      <c r="AC29">
        <v>8.8000000000000007</v>
      </c>
      <c r="AD29" s="2">
        <v>58046.786701388897</v>
      </c>
      <c r="AE29" s="2">
        <v>58046.784340277802</v>
      </c>
      <c r="AF29">
        <v>1.03</v>
      </c>
    </row>
    <row r="30" spans="9:32" x14ac:dyDescent="0.3">
      <c r="N30">
        <v>264</v>
      </c>
      <c r="O30">
        <v>151</v>
      </c>
      <c r="P30">
        <v>1</v>
      </c>
      <c r="Q30">
        <v>2</v>
      </c>
      <c r="S30">
        <v>0</v>
      </c>
      <c r="T30">
        <v>2.5</v>
      </c>
      <c r="U30">
        <v>10.5</v>
      </c>
      <c r="V30">
        <v>0.3</v>
      </c>
      <c r="W30">
        <v>0.5</v>
      </c>
      <c r="X30">
        <v>2</v>
      </c>
      <c r="Y30">
        <v>1</v>
      </c>
      <c r="Z30" t="s">
        <v>80</v>
      </c>
      <c r="AA30">
        <v>2</v>
      </c>
      <c r="AB30">
        <v>0</v>
      </c>
      <c r="AC30">
        <v>15.8</v>
      </c>
      <c r="AD30" s="2">
        <v>51585.285081018497</v>
      </c>
      <c r="AE30" s="2">
        <v>51585.0683796296</v>
      </c>
      <c r="AF30">
        <v>2.85</v>
      </c>
    </row>
    <row r="31" spans="9:32" x14ac:dyDescent="0.3">
      <c r="N31">
        <v>239</v>
      </c>
      <c r="O31">
        <v>113</v>
      </c>
      <c r="P31">
        <v>1</v>
      </c>
      <c r="Q31">
        <v>2</v>
      </c>
      <c r="S31">
        <v>2.5</v>
      </c>
      <c r="T31">
        <v>0.5</v>
      </c>
      <c r="U31">
        <v>18</v>
      </c>
      <c r="V31">
        <v>0.3</v>
      </c>
      <c r="W31">
        <v>0.5</v>
      </c>
      <c r="X31">
        <v>1</v>
      </c>
      <c r="Y31">
        <v>2</v>
      </c>
      <c r="Z31" t="s">
        <v>80</v>
      </c>
      <c r="AA31">
        <v>0</v>
      </c>
      <c r="AB31">
        <v>0</v>
      </c>
      <c r="AC31">
        <v>21.8</v>
      </c>
      <c r="AD31" s="2">
        <v>50454.884270833303</v>
      </c>
      <c r="AE31" s="2">
        <v>50453.913819444497</v>
      </c>
      <c r="AF31">
        <v>5.07</v>
      </c>
    </row>
    <row r="32" spans="9:32" x14ac:dyDescent="0.3">
      <c r="N32">
        <v>114</v>
      </c>
      <c r="O32">
        <v>249</v>
      </c>
      <c r="P32">
        <v>1</v>
      </c>
      <c r="Q32">
        <v>2</v>
      </c>
      <c r="S32">
        <v>2.5</v>
      </c>
      <c r="T32">
        <v>0.5</v>
      </c>
      <c r="U32">
        <v>5.5</v>
      </c>
      <c r="V32">
        <v>0.3</v>
      </c>
      <c r="W32">
        <v>0.5</v>
      </c>
      <c r="X32">
        <v>1</v>
      </c>
      <c r="Y32">
        <v>2</v>
      </c>
      <c r="Z32" t="s">
        <v>80</v>
      </c>
      <c r="AA32">
        <v>0</v>
      </c>
      <c r="AB32">
        <v>0</v>
      </c>
      <c r="AC32">
        <v>9.3000000000000007</v>
      </c>
      <c r="AD32" s="2">
        <v>50453.912037037</v>
      </c>
      <c r="AE32" s="2">
        <v>50453.907280092601</v>
      </c>
      <c r="AF32">
        <v>0.86</v>
      </c>
    </row>
    <row r="33" spans="13:32" x14ac:dyDescent="0.3">
      <c r="N33">
        <v>140</v>
      </c>
      <c r="O33">
        <v>262</v>
      </c>
      <c r="P33">
        <v>1</v>
      </c>
      <c r="Q33">
        <v>2</v>
      </c>
      <c r="S33">
        <v>2.5</v>
      </c>
      <c r="T33">
        <v>0.5</v>
      </c>
      <c r="U33">
        <v>4</v>
      </c>
      <c r="V33">
        <v>0.3</v>
      </c>
      <c r="W33">
        <v>0.5</v>
      </c>
      <c r="X33">
        <v>1</v>
      </c>
      <c r="Y33">
        <v>1</v>
      </c>
      <c r="Z33" t="s">
        <v>80</v>
      </c>
      <c r="AA33">
        <v>1.56</v>
      </c>
      <c r="AB33">
        <v>0</v>
      </c>
      <c r="AC33">
        <v>9.36</v>
      </c>
      <c r="AD33" s="2">
        <v>50454.002210648199</v>
      </c>
      <c r="AE33" s="2">
        <v>50453.861909722204</v>
      </c>
      <c r="AF33">
        <v>0.56000000000000005</v>
      </c>
    </row>
    <row r="34" spans="13:32" x14ac:dyDescent="0.3">
      <c r="N34">
        <v>262</v>
      </c>
      <c r="O34">
        <v>263</v>
      </c>
      <c r="P34">
        <v>1</v>
      </c>
      <c r="Q34">
        <v>2</v>
      </c>
      <c r="S34">
        <v>2.5</v>
      </c>
      <c r="T34">
        <v>0.5</v>
      </c>
      <c r="U34">
        <v>4</v>
      </c>
      <c r="V34">
        <v>0.3</v>
      </c>
      <c r="W34">
        <v>0.5</v>
      </c>
      <c r="X34">
        <v>1</v>
      </c>
      <c r="Y34">
        <v>2</v>
      </c>
      <c r="Z34" t="s">
        <v>80</v>
      </c>
      <c r="AA34">
        <v>0</v>
      </c>
      <c r="AB34">
        <v>0</v>
      </c>
      <c r="AC34">
        <v>7.8</v>
      </c>
      <c r="AD34" s="2">
        <v>50453.860671296301</v>
      </c>
      <c r="AE34" s="2">
        <v>50453.8586111111</v>
      </c>
      <c r="AF34">
        <v>0.45</v>
      </c>
    </row>
    <row r="35" spans="13:32" x14ac:dyDescent="0.3">
      <c r="N35">
        <v>43</v>
      </c>
      <c r="O35">
        <v>263</v>
      </c>
      <c r="P35">
        <v>1</v>
      </c>
      <c r="Q35">
        <v>2</v>
      </c>
      <c r="S35">
        <v>2.5</v>
      </c>
      <c r="T35">
        <v>0</v>
      </c>
      <c r="U35">
        <v>5</v>
      </c>
      <c r="V35">
        <v>0.3</v>
      </c>
      <c r="W35">
        <v>0.5</v>
      </c>
      <c r="X35">
        <v>1</v>
      </c>
      <c r="Y35">
        <v>2</v>
      </c>
      <c r="Z35" t="s">
        <v>80</v>
      </c>
      <c r="AA35">
        <v>0</v>
      </c>
      <c r="AB35">
        <v>0</v>
      </c>
      <c r="AC35">
        <v>8.3000000000000007</v>
      </c>
      <c r="AD35" s="2">
        <v>48696.551006944399</v>
      </c>
      <c r="AE35" s="2">
        <v>48696.5475925926</v>
      </c>
      <c r="AF35">
        <v>0.61</v>
      </c>
    </row>
    <row r="36" spans="13:32" x14ac:dyDescent="0.3">
      <c r="N36">
        <v>141</v>
      </c>
      <c r="O36">
        <v>229</v>
      </c>
      <c r="P36">
        <v>1</v>
      </c>
      <c r="Q36">
        <v>2</v>
      </c>
      <c r="S36">
        <v>2.5</v>
      </c>
      <c r="T36">
        <v>0</v>
      </c>
      <c r="U36">
        <v>7.5</v>
      </c>
      <c r="V36">
        <v>0.3</v>
      </c>
      <c r="W36">
        <v>0.5</v>
      </c>
      <c r="X36">
        <v>1</v>
      </c>
      <c r="Y36">
        <v>2</v>
      </c>
      <c r="Z36" t="s">
        <v>80</v>
      </c>
      <c r="AA36">
        <v>0</v>
      </c>
      <c r="AB36">
        <v>0</v>
      </c>
      <c r="AC36">
        <v>10.8</v>
      </c>
      <c r="AD36" s="2">
        <v>48696.534918981502</v>
      </c>
      <c r="AE36" s="2">
        <v>48696.528877314799</v>
      </c>
      <c r="AF36">
        <v>1.35</v>
      </c>
    </row>
    <row r="37" spans="13:32" x14ac:dyDescent="0.3">
      <c r="N37">
        <v>137</v>
      </c>
      <c r="O37">
        <v>107</v>
      </c>
      <c r="P37">
        <v>1</v>
      </c>
      <c r="Q37">
        <v>2</v>
      </c>
      <c r="S37">
        <v>2.5</v>
      </c>
      <c r="T37">
        <v>0</v>
      </c>
      <c r="U37">
        <v>4</v>
      </c>
      <c r="V37">
        <v>0.3</v>
      </c>
      <c r="W37">
        <v>0.5</v>
      </c>
      <c r="X37">
        <v>1</v>
      </c>
      <c r="Y37">
        <v>2</v>
      </c>
      <c r="Z37" t="s">
        <v>80</v>
      </c>
      <c r="AA37">
        <v>0</v>
      </c>
      <c r="AB37">
        <v>0</v>
      </c>
      <c r="AC37">
        <v>7.3</v>
      </c>
      <c r="AD37" s="2">
        <v>48696.524768518502</v>
      </c>
      <c r="AE37" s="2">
        <v>48696.522870370398</v>
      </c>
      <c r="AF37">
        <v>0.61</v>
      </c>
    </row>
    <row r="38" spans="13:32" x14ac:dyDescent="0.3">
      <c r="N38">
        <v>170</v>
      </c>
      <c r="O38">
        <v>170</v>
      </c>
      <c r="P38">
        <v>1</v>
      </c>
      <c r="Q38">
        <v>2</v>
      </c>
      <c r="S38">
        <v>2.5</v>
      </c>
      <c r="T38">
        <v>0</v>
      </c>
      <c r="U38">
        <v>3.5</v>
      </c>
      <c r="V38">
        <v>0.3</v>
      </c>
      <c r="W38">
        <v>0.5</v>
      </c>
      <c r="X38">
        <v>3</v>
      </c>
      <c r="Y38">
        <v>2</v>
      </c>
      <c r="Z38" t="s">
        <v>80</v>
      </c>
      <c r="AA38">
        <v>0</v>
      </c>
      <c r="AB38">
        <v>0</v>
      </c>
      <c r="AC38">
        <v>6.8</v>
      </c>
      <c r="AD38" s="2">
        <v>47441.535671296297</v>
      </c>
      <c r="AE38" s="2">
        <v>47441.534259259301</v>
      </c>
      <c r="AF38">
        <v>0.25</v>
      </c>
    </row>
    <row r="39" spans="13:32" x14ac:dyDescent="0.3">
      <c r="N39">
        <v>233</v>
      </c>
      <c r="O39">
        <v>234</v>
      </c>
      <c r="P39">
        <v>1</v>
      </c>
      <c r="Q39">
        <v>2</v>
      </c>
      <c r="S39">
        <v>2.5</v>
      </c>
      <c r="T39">
        <v>0</v>
      </c>
      <c r="U39">
        <v>10</v>
      </c>
      <c r="V39">
        <v>0.3</v>
      </c>
      <c r="W39">
        <v>0.5</v>
      </c>
      <c r="X39">
        <v>2</v>
      </c>
      <c r="Y39">
        <v>2</v>
      </c>
      <c r="Z39" t="s">
        <v>80</v>
      </c>
      <c r="AA39">
        <v>0</v>
      </c>
      <c r="AB39">
        <v>0</v>
      </c>
      <c r="AC39">
        <v>13.3</v>
      </c>
      <c r="AD39" s="2">
        <v>47441.531331018501</v>
      </c>
      <c r="AE39" s="2">
        <v>47441.519837963002</v>
      </c>
      <c r="AF39">
        <v>1.39</v>
      </c>
    </row>
    <row r="40" spans="13:32" x14ac:dyDescent="0.3">
      <c r="N40">
        <v>207</v>
      </c>
      <c r="O40">
        <v>189</v>
      </c>
      <c r="P40">
        <v>1</v>
      </c>
      <c r="Q40">
        <v>2</v>
      </c>
      <c r="S40">
        <v>0</v>
      </c>
      <c r="T40">
        <v>0</v>
      </c>
      <c r="U40">
        <v>29</v>
      </c>
      <c r="V40">
        <v>0.3</v>
      </c>
      <c r="W40">
        <v>0.5</v>
      </c>
      <c r="X40">
        <v>3</v>
      </c>
      <c r="Y40">
        <v>2</v>
      </c>
      <c r="Z40" t="s">
        <v>80</v>
      </c>
      <c r="AA40">
        <v>0</v>
      </c>
      <c r="AB40">
        <v>0</v>
      </c>
      <c r="AC40">
        <v>29.8</v>
      </c>
      <c r="AD40" s="2">
        <v>47441.484409722201</v>
      </c>
      <c r="AE40" s="2">
        <v>47441.466874999998</v>
      </c>
      <c r="AF40">
        <v>9.02</v>
      </c>
    </row>
    <row r="41" spans="13:32" x14ac:dyDescent="0.3">
      <c r="N41">
        <v>264</v>
      </c>
      <c r="O41">
        <v>264</v>
      </c>
      <c r="P41">
        <v>1</v>
      </c>
      <c r="Q41">
        <v>2</v>
      </c>
      <c r="S41">
        <v>0</v>
      </c>
      <c r="T41">
        <v>0.5</v>
      </c>
      <c r="U41">
        <v>2.5</v>
      </c>
      <c r="V41">
        <v>0.3</v>
      </c>
      <c r="W41">
        <v>0.5</v>
      </c>
      <c r="X41">
        <v>1</v>
      </c>
      <c r="Y41">
        <v>2</v>
      </c>
      <c r="Z41" t="s">
        <v>80</v>
      </c>
      <c r="AA41">
        <v>0</v>
      </c>
      <c r="AB41">
        <v>0</v>
      </c>
      <c r="AC41">
        <v>3.8</v>
      </c>
      <c r="AD41" s="2">
        <v>47441.448796296303</v>
      </c>
      <c r="AE41" s="2">
        <v>47441.4487731482</v>
      </c>
      <c r="AF41">
        <v>0</v>
      </c>
    </row>
    <row r="42" spans="13:32" x14ac:dyDescent="0.3">
      <c r="N42">
        <v>249</v>
      </c>
      <c r="O42">
        <v>231</v>
      </c>
      <c r="P42">
        <v>1</v>
      </c>
      <c r="Q42">
        <v>2</v>
      </c>
      <c r="R42">
        <v>0</v>
      </c>
      <c r="S42">
        <v>2.5</v>
      </c>
      <c r="T42">
        <v>0</v>
      </c>
      <c r="U42">
        <v>7.5</v>
      </c>
      <c r="V42">
        <v>0.3</v>
      </c>
      <c r="W42">
        <v>0.5</v>
      </c>
      <c r="X42">
        <v>1</v>
      </c>
      <c r="Y42">
        <v>1</v>
      </c>
      <c r="Z42" t="s">
        <v>80</v>
      </c>
      <c r="AA42">
        <v>2.16</v>
      </c>
      <c r="AB42">
        <v>0</v>
      </c>
      <c r="AC42">
        <v>12.96</v>
      </c>
      <c r="AD42" s="2">
        <v>47243.512731481504</v>
      </c>
      <c r="AE42" s="2">
        <v>47243.359479166698</v>
      </c>
      <c r="AF42">
        <v>1.69</v>
      </c>
    </row>
    <row r="43" spans="13:32" x14ac:dyDescent="0.3">
      <c r="N43">
        <v>170</v>
      </c>
      <c r="O43">
        <v>132</v>
      </c>
      <c r="P43">
        <v>2</v>
      </c>
      <c r="Q43">
        <v>2</v>
      </c>
      <c r="R43">
        <v>1.25</v>
      </c>
      <c r="S43">
        <v>2.5</v>
      </c>
      <c r="T43">
        <v>0</v>
      </c>
      <c r="U43">
        <v>52</v>
      </c>
      <c r="V43">
        <v>0.3</v>
      </c>
      <c r="W43">
        <v>0.5</v>
      </c>
      <c r="X43">
        <v>3</v>
      </c>
      <c r="Y43">
        <v>2</v>
      </c>
      <c r="Z43" t="s">
        <v>80</v>
      </c>
      <c r="AA43">
        <v>0</v>
      </c>
      <c r="AB43">
        <v>6.55</v>
      </c>
      <c r="AC43">
        <v>63.1</v>
      </c>
      <c r="AD43" s="2">
        <v>47094.228622685201</v>
      </c>
      <c r="AE43" s="2">
        <v>47094.200173611098</v>
      </c>
      <c r="AF43">
        <v>16.149999999999999</v>
      </c>
    </row>
    <row r="44" spans="13:32" x14ac:dyDescent="0.3">
      <c r="N44">
        <v>79</v>
      </c>
      <c r="O44">
        <v>132</v>
      </c>
      <c r="P44">
        <v>2</v>
      </c>
      <c r="Q44">
        <v>2</v>
      </c>
      <c r="S44">
        <v>2.5</v>
      </c>
      <c r="T44">
        <v>0</v>
      </c>
      <c r="U44">
        <v>52</v>
      </c>
      <c r="V44">
        <v>0.3</v>
      </c>
      <c r="W44">
        <v>0.5</v>
      </c>
      <c r="X44">
        <v>1</v>
      </c>
      <c r="Y44">
        <v>2</v>
      </c>
      <c r="Z44" t="s">
        <v>80</v>
      </c>
      <c r="AA44">
        <v>0</v>
      </c>
      <c r="AB44">
        <v>0</v>
      </c>
      <c r="AC44">
        <v>55.3</v>
      </c>
      <c r="AD44" s="2">
        <v>46373.006493055596</v>
      </c>
      <c r="AE44" s="2">
        <v>46372.9851851852</v>
      </c>
      <c r="AF44">
        <v>18.98</v>
      </c>
    </row>
    <row r="45" spans="13:32" x14ac:dyDescent="0.3">
      <c r="M45">
        <v>0</v>
      </c>
      <c r="N45">
        <v>264</v>
      </c>
      <c r="O45">
        <v>233</v>
      </c>
      <c r="P45">
        <v>1</v>
      </c>
      <c r="Q45">
        <v>2</v>
      </c>
      <c r="S45">
        <v>2.5</v>
      </c>
      <c r="T45">
        <v>1</v>
      </c>
      <c r="U45">
        <v>5.8</v>
      </c>
      <c r="V45">
        <v>1</v>
      </c>
      <c r="W45">
        <v>0.5</v>
      </c>
      <c r="X45">
        <v>1</v>
      </c>
      <c r="Y45">
        <v>1</v>
      </c>
      <c r="Z45" t="s">
        <v>80</v>
      </c>
      <c r="AA45">
        <v>2.7</v>
      </c>
      <c r="AB45">
        <v>0</v>
      </c>
      <c r="AC45">
        <v>13.5</v>
      </c>
      <c r="AD45" s="2">
        <v>46200.874421296299</v>
      </c>
      <c r="AE45" s="2">
        <v>46199.995277777802</v>
      </c>
      <c r="AF45">
        <v>0.56000000000000005</v>
      </c>
    </row>
    <row r="46" spans="13:32" x14ac:dyDescent="0.3">
      <c r="M46">
        <v>1.75</v>
      </c>
      <c r="N46">
        <v>233</v>
      </c>
      <c r="O46">
        <v>138</v>
      </c>
      <c r="P46">
        <v>1</v>
      </c>
      <c r="Q46">
        <v>2</v>
      </c>
      <c r="S46">
        <v>2.5</v>
      </c>
      <c r="T46">
        <v>6</v>
      </c>
      <c r="U46">
        <v>42.2</v>
      </c>
      <c r="V46">
        <v>1</v>
      </c>
      <c r="W46">
        <v>0.5</v>
      </c>
      <c r="X46">
        <v>1</v>
      </c>
      <c r="Y46">
        <v>1</v>
      </c>
      <c r="Z46" t="s">
        <v>80</v>
      </c>
      <c r="AA46">
        <v>12.18</v>
      </c>
      <c r="AB46">
        <v>6.94</v>
      </c>
      <c r="AC46">
        <v>73.069999999999993</v>
      </c>
      <c r="AD46" s="2">
        <v>46199.991562499999</v>
      </c>
      <c r="AE46" s="2">
        <v>46199.977025462998</v>
      </c>
      <c r="AF46">
        <v>10.96</v>
      </c>
    </row>
    <row r="47" spans="13:32" x14ac:dyDescent="0.3">
      <c r="M47">
        <v>0</v>
      </c>
      <c r="N47">
        <v>239</v>
      </c>
      <c r="O47">
        <v>48</v>
      </c>
      <c r="P47">
        <v>1</v>
      </c>
      <c r="Q47">
        <v>2</v>
      </c>
      <c r="S47">
        <v>2.5</v>
      </c>
      <c r="T47">
        <v>1</v>
      </c>
      <c r="U47">
        <v>11.4</v>
      </c>
      <c r="V47">
        <v>1</v>
      </c>
      <c r="W47">
        <v>0.5</v>
      </c>
      <c r="X47">
        <v>1</v>
      </c>
      <c r="Y47">
        <v>1</v>
      </c>
      <c r="Z47" t="s">
        <v>80</v>
      </c>
      <c r="AA47">
        <v>3.28</v>
      </c>
      <c r="AB47">
        <v>0</v>
      </c>
      <c r="AC47">
        <v>19.68</v>
      </c>
      <c r="AD47" s="2">
        <v>45739.953425925902</v>
      </c>
      <c r="AE47" s="2">
        <v>45739.862569444398</v>
      </c>
      <c r="AF47">
        <v>2.19</v>
      </c>
    </row>
    <row r="48" spans="13:32" x14ac:dyDescent="0.3">
      <c r="M48">
        <v>0</v>
      </c>
      <c r="N48">
        <v>163</v>
      </c>
      <c r="O48">
        <v>234</v>
      </c>
      <c r="P48">
        <v>1</v>
      </c>
      <c r="Q48">
        <v>2</v>
      </c>
      <c r="S48">
        <v>2.5</v>
      </c>
      <c r="T48">
        <v>1</v>
      </c>
      <c r="U48">
        <v>28.2</v>
      </c>
      <c r="V48">
        <v>1</v>
      </c>
      <c r="W48">
        <v>0.5</v>
      </c>
      <c r="X48">
        <v>1</v>
      </c>
      <c r="Y48">
        <v>2</v>
      </c>
      <c r="Z48" t="s">
        <v>80</v>
      </c>
      <c r="AA48">
        <v>0</v>
      </c>
      <c r="AB48">
        <v>0</v>
      </c>
      <c r="AC48">
        <v>33.200000000000003</v>
      </c>
      <c r="AD48" s="2">
        <v>45718.508831018502</v>
      </c>
      <c r="AE48" s="2">
        <v>45718.485081018502</v>
      </c>
      <c r="AF48">
        <v>2.71</v>
      </c>
    </row>
    <row r="49" spans="13:32" x14ac:dyDescent="0.3">
      <c r="M49">
        <v>0</v>
      </c>
      <c r="N49">
        <v>68</v>
      </c>
      <c r="O49">
        <v>68</v>
      </c>
      <c r="P49">
        <v>1</v>
      </c>
      <c r="Q49">
        <v>2</v>
      </c>
      <c r="S49">
        <v>2.5</v>
      </c>
      <c r="T49">
        <v>1</v>
      </c>
      <c r="U49">
        <v>29.6</v>
      </c>
      <c r="V49">
        <v>1</v>
      </c>
      <c r="W49">
        <v>0.5</v>
      </c>
      <c r="X49">
        <v>1</v>
      </c>
      <c r="Y49">
        <v>1</v>
      </c>
      <c r="Z49" t="s">
        <v>80</v>
      </c>
      <c r="AA49">
        <v>8.65</v>
      </c>
      <c r="AB49">
        <v>0</v>
      </c>
      <c r="AC49">
        <v>43.25</v>
      </c>
      <c r="AD49" s="2">
        <v>45697.179606481499</v>
      </c>
      <c r="AE49" s="2">
        <v>45697.1570601852</v>
      </c>
      <c r="AF49">
        <v>4.0199999999999996</v>
      </c>
    </row>
    <row r="50" spans="13:32" x14ac:dyDescent="0.3">
      <c r="M50">
        <v>0</v>
      </c>
      <c r="N50">
        <v>68</v>
      </c>
      <c r="O50">
        <v>43</v>
      </c>
      <c r="P50">
        <v>1</v>
      </c>
      <c r="Q50">
        <v>2</v>
      </c>
      <c r="S50">
        <v>2.5</v>
      </c>
      <c r="T50">
        <v>2.5</v>
      </c>
      <c r="U50">
        <v>14.2</v>
      </c>
      <c r="V50">
        <v>1</v>
      </c>
      <c r="W50">
        <v>0.5</v>
      </c>
      <c r="X50">
        <v>4</v>
      </c>
      <c r="Y50">
        <v>1</v>
      </c>
      <c r="Z50" t="s">
        <v>80</v>
      </c>
      <c r="AA50">
        <v>0</v>
      </c>
      <c r="AB50">
        <v>0</v>
      </c>
      <c r="AC50">
        <v>20.7</v>
      </c>
      <c r="AD50" s="2">
        <v>45673.730972222198</v>
      </c>
      <c r="AE50" s="2">
        <v>45673.428344907399</v>
      </c>
      <c r="AF50">
        <v>1.54</v>
      </c>
    </row>
    <row r="51" spans="13:32" x14ac:dyDescent="0.3">
      <c r="M51">
        <v>0</v>
      </c>
      <c r="N51">
        <v>52</v>
      </c>
      <c r="O51">
        <v>164</v>
      </c>
      <c r="P51">
        <v>1</v>
      </c>
      <c r="Q51">
        <v>2</v>
      </c>
      <c r="S51">
        <v>2.5</v>
      </c>
      <c r="T51">
        <v>1</v>
      </c>
      <c r="U51">
        <v>33.1</v>
      </c>
      <c r="V51">
        <v>1</v>
      </c>
      <c r="W51">
        <v>0.5</v>
      </c>
      <c r="X51">
        <v>1</v>
      </c>
      <c r="Y51">
        <v>1</v>
      </c>
      <c r="Z51" t="s">
        <v>80</v>
      </c>
      <c r="AA51">
        <v>9.52</v>
      </c>
      <c r="AB51">
        <v>0</v>
      </c>
      <c r="AC51">
        <v>47.62</v>
      </c>
      <c r="AD51" s="2">
        <v>45663.886180555601</v>
      </c>
      <c r="AE51" s="2">
        <v>45663.578356481499</v>
      </c>
      <c r="AF51">
        <v>7.45</v>
      </c>
    </row>
    <row r="52" spans="13:32" x14ac:dyDescent="0.3">
      <c r="M52">
        <v>0</v>
      </c>
      <c r="N52">
        <v>137</v>
      </c>
      <c r="O52">
        <v>107</v>
      </c>
      <c r="P52">
        <v>1</v>
      </c>
      <c r="Q52">
        <v>2</v>
      </c>
      <c r="S52">
        <v>2.5</v>
      </c>
      <c r="T52">
        <v>1</v>
      </c>
      <c r="U52">
        <v>5.0999999999999996</v>
      </c>
      <c r="V52">
        <v>1</v>
      </c>
      <c r="W52">
        <v>0.5</v>
      </c>
      <c r="X52">
        <v>1</v>
      </c>
      <c r="Y52">
        <v>1</v>
      </c>
      <c r="Z52" t="s">
        <v>80</v>
      </c>
      <c r="AA52">
        <v>2.9</v>
      </c>
      <c r="AB52">
        <v>0</v>
      </c>
      <c r="AC52">
        <v>13</v>
      </c>
      <c r="AD52" s="2">
        <v>45658.002002314803</v>
      </c>
      <c r="AE52" s="2">
        <v>45657.999976851897</v>
      </c>
      <c r="AF52">
        <v>0.67</v>
      </c>
    </row>
    <row r="53" spans="13:32" x14ac:dyDescent="0.3">
      <c r="M53">
        <v>0</v>
      </c>
      <c r="N53">
        <v>79</v>
      </c>
      <c r="O53">
        <v>249</v>
      </c>
      <c r="P53">
        <v>1</v>
      </c>
      <c r="Q53">
        <v>1</v>
      </c>
      <c r="S53">
        <v>2.5</v>
      </c>
      <c r="T53">
        <v>2.5</v>
      </c>
      <c r="U53">
        <v>10</v>
      </c>
      <c r="V53">
        <v>1</v>
      </c>
      <c r="W53">
        <v>0.5</v>
      </c>
      <c r="X53">
        <v>1</v>
      </c>
      <c r="Y53">
        <v>2</v>
      </c>
      <c r="Z53" t="s">
        <v>80</v>
      </c>
      <c r="AA53">
        <v>0</v>
      </c>
      <c r="AB53">
        <v>0</v>
      </c>
      <c r="AC53">
        <v>14</v>
      </c>
      <c r="AD53" s="2">
        <v>45658.0077199074</v>
      </c>
      <c r="AE53" s="2">
        <v>45657.9999537037</v>
      </c>
      <c r="AF53">
        <v>1.4</v>
      </c>
    </row>
    <row r="54" spans="13:32" x14ac:dyDescent="0.3">
      <c r="M54">
        <v>0</v>
      </c>
      <c r="N54">
        <v>144</v>
      </c>
      <c r="O54">
        <v>229</v>
      </c>
      <c r="P54">
        <v>1</v>
      </c>
      <c r="Q54">
        <v>2</v>
      </c>
      <c r="S54">
        <v>2.5</v>
      </c>
      <c r="T54">
        <v>1</v>
      </c>
      <c r="U54">
        <v>20.5</v>
      </c>
      <c r="V54">
        <v>1</v>
      </c>
      <c r="W54">
        <v>0.5</v>
      </c>
      <c r="X54">
        <v>1</v>
      </c>
      <c r="Y54">
        <v>1</v>
      </c>
      <c r="Z54" t="s">
        <v>80</v>
      </c>
      <c r="AA54">
        <v>5.0999999999999996</v>
      </c>
      <c r="AB54">
        <v>0</v>
      </c>
      <c r="AC54">
        <v>30.6</v>
      </c>
      <c r="AD54" s="2">
        <v>45658.010185185201</v>
      </c>
      <c r="AE54" s="2">
        <v>45657.999884259298</v>
      </c>
      <c r="AF54">
        <v>3.84</v>
      </c>
    </row>
    <row r="55" spans="13:32" x14ac:dyDescent="0.3">
      <c r="M55">
        <v>1.75</v>
      </c>
      <c r="N55">
        <v>176</v>
      </c>
      <c r="O55">
        <v>132</v>
      </c>
      <c r="P55">
        <v>1</v>
      </c>
      <c r="Q55">
        <v>2</v>
      </c>
      <c r="S55">
        <v>0</v>
      </c>
      <c r="T55">
        <v>1</v>
      </c>
      <c r="U55">
        <v>103.1</v>
      </c>
      <c r="V55">
        <v>1</v>
      </c>
      <c r="W55">
        <v>0.5</v>
      </c>
      <c r="X55">
        <v>4</v>
      </c>
      <c r="Y55">
        <v>1</v>
      </c>
      <c r="Z55" t="s">
        <v>80</v>
      </c>
      <c r="AA55">
        <v>21.12</v>
      </c>
      <c r="AB55">
        <v>0</v>
      </c>
      <c r="AC55">
        <v>128.47</v>
      </c>
      <c r="AD55" s="2">
        <v>45658.030138888898</v>
      </c>
      <c r="AE55" s="2">
        <v>45657.999872685199</v>
      </c>
      <c r="AF55">
        <v>28.16</v>
      </c>
    </row>
    <row r="56" spans="13:32" x14ac:dyDescent="0.3">
      <c r="M56">
        <v>1.75</v>
      </c>
      <c r="N56">
        <v>263</v>
      </c>
      <c r="O56">
        <v>138</v>
      </c>
      <c r="P56">
        <v>1</v>
      </c>
      <c r="Q56">
        <v>1</v>
      </c>
      <c r="S56">
        <v>2.5</v>
      </c>
      <c r="T56">
        <v>9.25</v>
      </c>
      <c r="U56">
        <v>30.3</v>
      </c>
      <c r="V56">
        <v>1</v>
      </c>
      <c r="W56">
        <v>0.5</v>
      </c>
      <c r="X56">
        <v>1</v>
      </c>
      <c r="Y56">
        <v>1</v>
      </c>
      <c r="Z56" t="s">
        <v>80</v>
      </c>
      <c r="AA56">
        <v>9.6</v>
      </c>
      <c r="AB56">
        <v>6.94</v>
      </c>
      <c r="AC56">
        <v>57.59</v>
      </c>
      <c r="AD56" s="2">
        <v>45658.011006944398</v>
      </c>
      <c r="AE56" s="2">
        <v>45657.9998611111</v>
      </c>
      <c r="AF56">
        <v>7.7</v>
      </c>
    </row>
    <row r="57" spans="13:32" x14ac:dyDescent="0.3">
      <c r="M57">
        <v>0</v>
      </c>
      <c r="N57">
        <v>211</v>
      </c>
      <c r="O57">
        <v>249</v>
      </c>
      <c r="P57">
        <v>1</v>
      </c>
      <c r="Q57">
        <v>2</v>
      </c>
      <c r="S57">
        <v>2.5</v>
      </c>
      <c r="T57">
        <v>1</v>
      </c>
      <c r="U57">
        <v>6.5</v>
      </c>
      <c r="V57">
        <v>1</v>
      </c>
      <c r="W57">
        <v>0.5</v>
      </c>
      <c r="X57">
        <v>1</v>
      </c>
      <c r="Y57">
        <v>2</v>
      </c>
      <c r="Z57" t="s">
        <v>80</v>
      </c>
      <c r="AA57">
        <v>0</v>
      </c>
      <c r="AB57">
        <v>0</v>
      </c>
      <c r="AC57">
        <v>11.5</v>
      </c>
      <c r="AD57" s="2">
        <v>45658.002314814803</v>
      </c>
      <c r="AE57" s="2">
        <v>45657.9998611111</v>
      </c>
      <c r="AF57">
        <v>0.92</v>
      </c>
    </row>
    <row r="58" spans="13:32" x14ac:dyDescent="0.3">
      <c r="M58">
        <v>0</v>
      </c>
      <c r="N58">
        <v>211</v>
      </c>
      <c r="O58">
        <v>249</v>
      </c>
      <c r="P58">
        <v>1</v>
      </c>
      <c r="Q58">
        <v>2</v>
      </c>
      <c r="S58">
        <v>-2.5</v>
      </c>
      <c r="T58">
        <v>-1</v>
      </c>
      <c r="U58">
        <v>-6.5</v>
      </c>
      <c r="V58">
        <v>-1</v>
      </c>
      <c r="W58">
        <v>-0.5</v>
      </c>
      <c r="X58">
        <v>1</v>
      </c>
      <c r="Y58">
        <v>2</v>
      </c>
      <c r="Z58" t="s">
        <v>80</v>
      </c>
      <c r="AA58">
        <v>0</v>
      </c>
      <c r="AB58">
        <v>0</v>
      </c>
      <c r="AC58">
        <v>-11.5</v>
      </c>
      <c r="AD58" s="2">
        <v>45658.002314814803</v>
      </c>
      <c r="AE58" s="2">
        <v>45657.9998611111</v>
      </c>
      <c r="AF58">
        <v>0.92</v>
      </c>
    </row>
    <row r="59" spans="13:32" x14ac:dyDescent="0.3">
      <c r="M59">
        <v>0</v>
      </c>
      <c r="N59">
        <v>166</v>
      </c>
      <c r="O59">
        <v>142</v>
      </c>
      <c r="P59">
        <v>1</v>
      </c>
      <c r="Q59">
        <v>2</v>
      </c>
      <c r="S59">
        <v>2.5</v>
      </c>
      <c r="T59">
        <v>1</v>
      </c>
      <c r="U59">
        <v>12.8</v>
      </c>
      <c r="V59">
        <v>1</v>
      </c>
      <c r="W59">
        <v>0.5</v>
      </c>
      <c r="X59">
        <v>1</v>
      </c>
      <c r="Y59">
        <v>2</v>
      </c>
      <c r="Z59" t="s">
        <v>80</v>
      </c>
      <c r="AA59">
        <v>0</v>
      </c>
      <c r="AB59">
        <v>0</v>
      </c>
      <c r="AC59">
        <v>17.8</v>
      </c>
      <c r="AD59" s="2">
        <v>45658.005231481497</v>
      </c>
      <c r="AE59" s="2">
        <v>45657.999826388899</v>
      </c>
      <c r="AF59">
        <v>2.7</v>
      </c>
    </row>
    <row r="60" spans="13:32" x14ac:dyDescent="0.3">
      <c r="M60">
        <v>0</v>
      </c>
      <c r="N60">
        <v>157</v>
      </c>
      <c r="O60">
        <v>132</v>
      </c>
      <c r="P60">
        <v>1</v>
      </c>
      <c r="Q60">
        <v>2</v>
      </c>
      <c r="S60">
        <v>0</v>
      </c>
      <c r="T60">
        <v>1</v>
      </c>
      <c r="U60">
        <v>40.799999999999997</v>
      </c>
      <c r="V60">
        <v>1</v>
      </c>
      <c r="W60">
        <v>0.5</v>
      </c>
      <c r="X60">
        <v>2</v>
      </c>
      <c r="Y60">
        <v>2</v>
      </c>
      <c r="Z60" t="s">
        <v>80</v>
      </c>
      <c r="AA60">
        <v>0</v>
      </c>
      <c r="AB60">
        <v>0</v>
      </c>
      <c r="AC60">
        <v>43.3</v>
      </c>
      <c r="AD60" s="2">
        <v>45658.010439814803</v>
      </c>
      <c r="AE60" s="2">
        <v>45657.999756944497</v>
      </c>
      <c r="AF60">
        <v>10.8</v>
      </c>
    </row>
    <row r="61" spans="13:32" x14ac:dyDescent="0.3">
      <c r="M61">
        <v>1.75</v>
      </c>
      <c r="N61">
        <v>41</v>
      </c>
      <c r="O61">
        <v>138</v>
      </c>
      <c r="P61">
        <v>1</v>
      </c>
      <c r="Q61">
        <v>2</v>
      </c>
      <c r="S61">
        <v>0</v>
      </c>
      <c r="T61">
        <v>6</v>
      </c>
      <c r="U61">
        <v>28.2</v>
      </c>
      <c r="V61">
        <v>1</v>
      </c>
      <c r="W61">
        <v>0.5</v>
      </c>
      <c r="X61">
        <v>2</v>
      </c>
      <c r="Y61">
        <v>1</v>
      </c>
      <c r="Z61" t="s">
        <v>80</v>
      </c>
      <c r="AA61">
        <v>8.5299999999999994</v>
      </c>
      <c r="AB61">
        <v>6.94</v>
      </c>
      <c r="AC61">
        <v>52.92</v>
      </c>
      <c r="AD61" s="2">
        <v>45658.009849536997</v>
      </c>
      <c r="AE61" s="2">
        <v>45657.999699074098</v>
      </c>
      <c r="AF61">
        <v>6.83</v>
      </c>
    </row>
    <row r="62" spans="13:32" x14ac:dyDescent="0.3">
      <c r="M62">
        <v>0</v>
      </c>
      <c r="N62">
        <v>234</v>
      </c>
      <c r="O62">
        <v>249</v>
      </c>
      <c r="P62">
        <v>1</v>
      </c>
      <c r="Q62">
        <v>2</v>
      </c>
      <c r="S62">
        <v>2.5</v>
      </c>
      <c r="T62">
        <v>1</v>
      </c>
      <c r="U62">
        <v>9.3000000000000007</v>
      </c>
      <c r="V62">
        <v>1</v>
      </c>
      <c r="W62">
        <v>0.5</v>
      </c>
      <c r="X62">
        <v>1</v>
      </c>
      <c r="Y62">
        <v>1</v>
      </c>
      <c r="Z62" t="s">
        <v>80</v>
      </c>
      <c r="AA62">
        <v>2.86</v>
      </c>
      <c r="AB62">
        <v>0</v>
      </c>
      <c r="AC62">
        <v>17.16</v>
      </c>
      <c r="AD62" s="2">
        <v>45658.005277777796</v>
      </c>
      <c r="AE62" s="2">
        <v>45657.9996875</v>
      </c>
      <c r="AF62">
        <v>1.06</v>
      </c>
    </row>
    <row r="63" spans="13:32" x14ac:dyDescent="0.3">
      <c r="M63">
        <v>0</v>
      </c>
      <c r="N63">
        <v>91</v>
      </c>
      <c r="O63">
        <v>132</v>
      </c>
      <c r="P63">
        <v>1</v>
      </c>
      <c r="Q63">
        <v>2</v>
      </c>
      <c r="S63">
        <v>0</v>
      </c>
      <c r="T63">
        <v>1</v>
      </c>
      <c r="U63">
        <v>42.2</v>
      </c>
      <c r="V63">
        <v>1</v>
      </c>
      <c r="W63">
        <v>0.5</v>
      </c>
      <c r="X63">
        <v>1</v>
      </c>
      <c r="Y63">
        <v>2</v>
      </c>
      <c r="Z63" t="s">
        <v>80</v>
      </c>
      <c r="AA63">
        <v>0</v>
      </c>
      <c r="AB63">
        <v>0</v>
      </c>
      <c r="AC63">
        <v>44.7</v>
      </c>
      <c r="AD63" s="2">
        <v>45658.0218171296</v>
      </c>
      <c r="AE63" s="2">
        <v>45657.999664351897</v>
      </c>
      <c r="AF63">
        <v>9.4700000000000006</v>
      </c>
    </row>
    <row r="64" spans="13:32" x14ac:dyDescent="0.3">
      <c r="M64">
        <v>0</v>
      </c>
      <c r="N64">
        <v>95</v>
      </c>
      <c r="O64">
        <v>132</v>
      </c>
      <c r="P64">
        <v>1</v>
      </c>
      <c r="Q64">
        <v>2</v>
      </c>
      <c r="S64">
        <v>0</v>
      </c>
      <c r="T64">
        <v>1</v>
      </c>
      <c r="U64">
        <v>27.5</v>
      </c>
      <c r="V64">
        <v>1</v>
      </c>
      <c r="W64">
        <v>0.5</v>
      </c>
      <c r="X64">
        <v>1</v>
      </c>
      <c r="Y64">
        <v>1</v>
      </c>
      <c r="Z64" t="s">
        <v>80</v>
      </c>
      <c r="AA64">
        <v>6</v>
      </c>
      <c r="AB64">
        <v>0</v>
      </c>
      <c r="AC64">
        <v>36</v>
      </c>
      <c r="AD64" s="2">
        <v>45658.0128819444</v>
      </c>
      <c r="AE64" s="2">
        <v>45657.999652777798</v>
      </c>
      <c r="AF64">
        <v>6.2</v>
      </c>
    </row>
    <row r="65" spans="13:32" x14ac:dyDescent="0.3">
      <c r="M65">
        <v>0</v>
      </c>
      <c r="N65">
        <v>75</v>
      </c>
      <c r="O65">
        <v>238</v>
      </c>
      <c r="P65">
        <v>1</v>
      </c>
      <c r="Q65">
        <v>1</v>
      </c>
      <c r="S65">
        <v>0</v>
      </c>
      <c r="T65">
        <v>0</v>
      </c>
      <c r="U65">
        <v>7.9</v>
      </c>
      <c r="V65">
        <v>1</v>
      </c>
      <c r="W65">
        <v>0.5</v>
      </c>
      <c r="X65">
        <v>1</v>
      </c>
      <c r="Y65">
        <v>1</v>
      </c>
      <c r="Z65" t="s">
        <v>80</v>
      </c>
      <c r="AA65">
        <v>3</v>
      </c>
      <c r="AB65">
        <v>0</v>
      </c>
      <c r="AC65">
        <v>12.4</v>
      </c>
      <c r="AD65" s="2">
        <v>45658.004351851901</v>
      </c>
      <c r="AE65" s="2">
        <v>45657.9996412037</v>
      </c>
      <c r="AF65">
        <v>1.1000000000000001</v>
      </c>
    </row>
    <row r="66" spans="13:32" x14ac:dyDescent="0.3">
      <c r="M66">
        <v>1.75</v>
      </c>
      <c r="N66">
        <v>95</v>
      </c>
      <c r="O66">
        <v>132</v>
      </c>
      <c r="P66">
        <v>1</v>
      </c>
      <c r="Q66">
        <v>2</v>
      </c>
      <c r="S66">
        <v>0</v>
      </c>
      <c r="T66">
        <v>1</v>
      </c>
      <c r="U66">
        <v>34.5</v>
      </c>
      <c r="V66">
        <v>1</v>
      </c>
      <c r="W66">
        <v>0.5</v>
      </c>
      <c r="X66">
        <v>1</v>
      </c>
      <c r="Y66">
        <v>2</v>
      </c>
      <c r="Z66" t="s">
        <v>80</v>
      </c>
      <c r="AA66">
        <v>0</v>
      </c>
      <c r="AB66">
        <v>0</v>
      </c>
      <c r="AC66">
        <v>38.75</v>
      </c>
      <c r="AD66" s="2">
        <v>45658.012615740699</v>
      </c>
      <c r="AE66" s="2">
        <v>45657.9996412037</v>
      </c>
      <c r="AF66">
        <v>8.43</v>
      </c>
    </row>
    <row r="67" spans="13:32" x14ac:dyDescent="0.3">
      <c r="M67">
        <v>1.75</v>
      </c>
      <c r="N67">
        <v>265</v>
      </c>
      <c r="O67">
        <v>132</v>
      </c>
      <c r="P67">
        <v>4</v>
      </c>
      <c r="Q67">
        <v>2</v>
      </c>
      <c r="S67">
        <v>0</v>
      </c>
      <c r="T67">
        <v>1</v>
      </c>
      <c r="U67">
        <v>192.7</v>
      </c>
      <c r="V67">
        <v>1</v>
      </c>
      <c r="W67">
        <v>0</v>
      </c>
      <c r="X67">
        <v>3</v>
      </c>
      <c r="Y67">
        <v>2</v>
      </c>
      <c r="Z67" t="s">
        <v>80</v>
      </c>
      <c r="AA67">
        <v>0</v>
      </c>
      <c r="AB67">
        <v>13.38</v>
      </c>
      <c r="AC67">
        <v>209.83</v>
      </c>
      <c r="AD67" s="2">
        <v>45658.042569444398</v>
      </c>
      <c r="AE67" s="2">
        <v>45657.999618055597</v>
      </c>
      <c r="AF67">
        <v>40.56</v>
      </c>
    </row>
    <row r="68" spans="13:32" x14ac:dyDescent="0.3">
      <c r="M68">
        <v>0</v>
      </c>
      <c r="N68">
        <v>132</v>
      </c>
      <c r="O68">
        <v>219</v>
      </c>
      <c r="P68">
        <v>1</v>
      </c>
      <c r="Q68">
        <v>2</v>
      </c>
      <c r="S68">
        <v>0</v>
      </c>
      <c r="T68">
        <v>1</v>
      </c>
      <c r="U68">
        <v>6.5</v>
      </c>
      <c r="V68">
        <v>1</v>
      </c>
      <c r="W68">
        <v>0.5</v>
      </c>
      <c r="X68">
        <v>1</v>
      </c>
      <c r="Y68">
        <v>2</v>
      </c>
      <c r="Z68" t="s">
        <v>80</v>
      </c>
      <c r="AA68">
        <v>0</v>
      </c>
      <c r="AB68">
        <v>0</v>
      </c>
      <c r="AC68">
        <v>9</v>
      </c>
      <c r="AD68" s="2">
        <v>45658.002418981501</v>
      </c>
      <c r="AE68" s="2">
        <v>45657.9995949074</v>
      </c>
      <c r="AF68">
        <v>0.82</v>
      </c>
    </row>
    <row r="69" spans="13:32" x14ac:dyDescent="0.3">
      <c r="M69">
        <v>1.75</v>
      </c>
      <c r="N69">
        <v>265</v>
      </c>
      <c r="O69">
        <v>132</v>
      </c>
      <c r="P69">
        <v>4</v>
      </c>
      <c r="Q69">
        <v>2</v>
      </c>
      <c r="S69">
        <v>0</v>
      </c>
      <c r="T69">
        <v>1</v>
      </c>
      <c r="U69">
        <v>73</v>
      </c>
      <c r="V69">
        <v>1</v>
      </c>
      <c r="W69">
        <v>0.5</v>
      </c>
      <c r="X69">
        <v>1</v>
      </c>
      <c r="Y69">
        <v>1</v>
      </c>
      <c r="Z69" t="s">
        <v>80</v>
      </c>
      <c r="AA69">
        <v>15.1</v>
      </c>
      <c r="AB69">
        <v>0</v>
      </c>
      <c r="AC69">
        <v>92.35</v>
      </c>
      <c r="AD69" s="2">
        <v>45658.016909722202</v>
      </c>
      <c r="AE69" s="2">
        <v>45657.999583333301</v>
      </c>
      <c r="AF69">
        <v>16.41</v>
      </c>
    </row>
    <row r="70" spans="13:32" x14ac:dyDescent="0.3">
      <c r="M70">
        <v>0</v>
      </c>
      <c r="N70">
        <v>100</v>
      </c>
      <c r="O70">
        <v>50</v>
      </c>
      <c r="P70">
        <v>1</v>
      </c>
      <c r="Q70">
        <v>2</v>
      </c>
      <c r="S70">
        <v>2.5</v>
      </c>
      <c r="T70">
        <v>1</v>
      </c>
      <c r="U70">
        <v>16.3</v>
      </c>
      <c r="V70">
        <v>1</v>
      </c>
      <c r="W70">
        <v>0.5</v>
      </c>
      <c r="X70">
        <v>5</v>
      </c>
      <c r="Y70">
        <v>1</v>
      </c>
      <c r="Z70" t="s">
        <v>80</v>
      </c>
      <c r="AA70">
        <v>4.26</v>
      </c>
      <c r="AB70">
        <v>0</v>
      </c>
      <c r="AC70">
        <v>25.56</v>
      </c>
      <c r="AD70" s="2">
        <v>45658.011817129598</v>
      </c>
      <c r="AE70" s="2">
        <v>45657.999571759297</v>
      </c>
      <c r="AF70">
        <v>1.0900000000000001</v>
      </c>
    </row>
    <row r="71" spans="13:32" x14ac:dyDescent="0.3">
      <c r="M71">
        <v>0</v>
      </c>
      <c r="N71">
        <v>50</v>
      </c>
      <c r="O71">
        <v>50</v>
      </c>
      <c r="P71">
        <v>1</v>
      </c>
      <c r="Q71">
        <v>1</v>
      </c>
      <c r="S71">
        <v>2.5</v>
      </c>
      <c r="T71">
        <v>2.5</v>
      </c>
      <c r="U71">
        <v>3</v>
      </c>
      <c r="V71">
        <v>1</v>
      </c>
      <c r="W71">
        <v>0.5</v>
      </c>
      <c r="X71">
        <v>1</v>
      </c>
      <c r="Y71">
        <v>3</v>
      </c>
      <c r="Z71" t="s">
        <v>80</v>
      </c>
      <c r="AA71">
        <v>0</v>
      </c>
      <c r="AB71">
        <v>0</v>
      </c>
      <c r="AC71">
        <v>7</v>
      </c>
      <c r="AD71" s="2">
        <v>45657.999803240702</v>
      </c>
      <c r="AE71" s="2">
        <v>45657.9995486111</v>
      </c>
      <c r="AF71">
        <v>0</v>
      </c>
    </row>
    <row r="72" spans="13:32" x14ac:dyDescent="0.3">
      <c r="M72">
        <v>0</v>
      </c>
      <c r="N72">
        <v>68</v>
      </c>
      <c r="O72">
        <v>68</v>
      </c>
      <c r="P72">
        <v>1</v>
      </c>
      <c r="Q72">
        <v>2</v>
      </c>
      <c r="S72">
        <v>2.5</v>
      </c>
      <c r="T72">
        <v>1</v>
      </c>
      <c r="U72">
        <v>6.5</v>
      </c>
      <c r="V72">
        <v>1</v>
      </c>
      <c r="W72">
        <v>0.5</v>
      </c>
      <c r="X72">
        <v>1</v>
      </c>
      <c r="Y72">
        <v>1</v>
      </c>
      <c r="Z72" t="s">
        <v>80</v>
      </c>
      <c r="AA72">
        <v>2.2999999999999998</v>
      </c>
      <c r="AB72">
        <v>0</v>
      </c>
      <c r="AC72">
        <v>13.8</v>
      </c>
      <c r="AD72" s="2">
        <v>45658.002592592602</v>
      </c>
      <c r="AE72" s="2">
        <v>45657.999537037002</v>
      </c>
      <c r="AF72">
        <v>0.8</v>
      </c>
    </row>
    <row r="73" spans="13:32" x14ac:dyDescent="0.3">
      <c r="M73">
        <v>1.75</v>
      </c>
      <c r="N73">
        <v>92</v>
      </c>
      <c r="O73">
        <v>138</v>
      </c>
      <c r="P73">
        <v>1</v>
      </c>
      <c r="Q73">
        <v>1</v>
      </c>
      <c r="S73">
        <v>0</v>
      </c>
      <c r="T73">
        <v>7.75</v>
      </c>
      <c r="U73">
        <v>17</v>
      </c>
      <c r="V73">
        <v>1</v>
      </c>
      <c r="W73">
        <v>0.5</v>
      </c>
      <c r="X73">
        <v>3</v>
      </c>
      <c r="Y73">
        <v>1</v>
      </c>
      <c r="Z73" t="s">
        <v>80</v>
      </c>
      <c r="AA73">
        <v>10</v>
      </c>
      <c r="AB73">
        <v>0</v>
      </c>
      <c r="AC73">
        <v>36.25</v>
      </c>
      <c r="AD73" s="2">
        <v>45658.006655092599</v>
      </c>
      <c r="AE73" s="2">
        <v>45657.999490740702</v>
      </c>
      <c r="AF73">
        <v>3.9</v>
      </c>
    </row>
    <row r="74" spans="13:32" x14ac:dyDescent="0.3">
      <c r="M74">
        <v>0</v>
      </c>
      <c r="N74">
        <v>231</v>
      </c>
      <c r="O74">
        <v>144</v>
      </c>
      <c r="P74">
        <v>1</v>
      </c>
      <c r="Q74">
        <v>2</v>
      </c>
      <c r="S74">
        <v>2.5</v>
      </c>
      <c r="T74">
        <v>1</v>
      </c>
      <c r="U74">
        <v>5.0999999999999996</v>
      </c>
      <c r="V74">
        <v>1</v>
      </c>
      <c r="W74">
        <v>0.5</v>
      </c>
      <c r="X74">
        <v>2</v>
      </c>
      <c r="Y74">
        <v>1</v>
      </c>
      <c r="Z74" t="s">
        <v>80</v>
      </c>
      <c r="AA74">
        <v>5</v>
      </c>
      <c r="AB74">
        <v>0</v>
      </c>
      <c r="AC74">
        <v>15.1</v>
      </c>
      <c r="AD74" s="2">
        <v>45658.001446759299</v>
      </c>
      <c r="AE74" s="2">
        <v>45657.999467592599</v>
      </c>
      <c r="AF74">
        <v>0.53</v>
      </c>
    </row>
    <row r="75" spans="13:32" x14ac:dyDescent="0.3">
      <c r="M75">
        <v>0</v>
      </c>
      <c r="N75">
        <v>186</v>
      </c>
      <c r="O75">
        <v>79</v>
      </c>
      <c r="P75">
        <v>1</v>
      </c>
      <c r="Q75">
        <v>1</v>
      </c>
      <c r="S75">
        <v>2.5</v>
      </c>
      <c r="T75">
        <v>3.5</v>
      </c>
      <c r="U75">
        <v>13.5</v>
      </c>
      <c r="V75">
        <v>1</v>
      </c>
      <c r="W75">
        <v>0.5</v>
      </c>
      <c r="X75">
        <v>1</v>
      </c>
      <c r="Y75">
        <v>1</v>
      </c>
      <c r="Z75" t="s">
        <v>80</v>
      </c>
      <c r="AA75">
        <v>3.7</v>
      </c>
      <c r="AB75">
        <v>0</v>
      </c>
      <c r="AC75">
        <v>22.2</v>
      </c>
      <c r="AD75" s="2">
        <v>45658.008379629602</v>
      </c>
      <c r="AE75" s="2">
        <v>45657.999409722201</v>
      </c>
      <c r="AF75">
        <v>1.8</v>
      </c>
    </row>
    <row r="76" spans="13:32" x14ac:dyDescent="0.3">
      <c r="N76">
        <v>122</v>
      </c>
      <c r="O76">
        <v>101</v>
      </c>
      <c r="Q76">
        <v>2</v>
      </c>
      <c r="T76">
        <v>0</v>
      </c>
      <c r="U76">
        <v>-10.3</v>
      </c>
      <c r="V76">
        <v>1</v>
      </c>
      <c r="W76">
        <v>0.5</v>
      </c>
      <c r="Y76">
        <v>0</v>
      </c>
      <c r="AA76">
        <v>0</v>
      </c>
      <c r="AB76">
        <v>0</v>
      </c>
      <c r="AC76">
        <v>-8.8000000000000007</v>
      </c>
      <c r="AD76" s="2">
        <v>45658.012060185203</v>
      </c>
      <c r="AE76" s="2">
        <v>45657.999374999999</v>
      </c>
      <c r="AF76">
        <v>6.85</v>
      </c>
    </row>
    <row r="77" spans="13:32" x14ac:dyDescent="0.3">
      <c r="N77">
        <v>186</v>
      </c>
      <c r="O77">
        <v>161</v>
      </c>
      <c r="Q77">
        <v>2</v>
      </c>
      <c r="T77">
        <v>0</v>
      </c>
      <c r="U77">
        <v>9.94</v>
      </c>
      <c r="V77">
        <v>1</v>
      </c>
      <c r="W77">
        <v>0.5</v>
      </c>
      <c r="Y77">
        <v>0</v>
      </c>
      <c r="AA77">
        <v>0</v>
      </c>
      <c r="AB77">
        <v>0</v>
      </c>
      <c r="AC77">
        <v>13.94</v>
      </c>
      <c r="AD77" s="2">
        <v>45658.018182870401</v>
      </c>
      <c r="AE77" s="2">
        <v>45657.999363425901</v>
      </c>
      <c r="AF77">
        <v>1.66</v>
      </c>
    </row>
    <row r="78" spans="13:32" x14ac:dyDescent="0.3">
      <c r="M78">
        <v>0</v>
      </c>
      <c r="N78">
        <v>37</v>
      </c>
      <c r="O78">
        <v>231</v>
      </c>
      <c r="P78">
        <v>1</v>
      </c>
      <c r="Q78">
        <v>2</v>
      </c>
      <c r="S78">
        <v>2.5</v>
      </c>
      <c r="T78">
        <v>1</v>
      </c>
      <c r="U78">
        <v>24</v>
      </c>
      <c r="V78">
        <v>1</v>
      </c>
      <c r="W78">
        <v>0.5</v>
      </c>
      <c r="X78">
        <v>4</v>
      </c>
      <c r="Y78">
        <v>1</v>
      </c>
      <c r="Z78" t="s">
        <v>80</v>
      </c>
      <c r="AA78">
        <v>5.8</v>
      </c>
      <c r="AB78">
        <v>0</v>
      </c>
      <c r="AC78">
        <v>34.799999999999997</v>
      </c>
      <c r="AD78" s="2">
        <v>45658.013391203698</v>
      </c>
      <c r="AE78" s="2">
        <v>45657.999340277798</v>
      </c>
      <c r="AF78">
        <v>4.37</v>
      </c>
    </row>
    <row r="79" spans="13:32" x14ac:dyDescent="0.3">
      <c r="M79">
        <v>0</v>
      </c>
      <c r="N79">
        <v>239</v>
      </c>
      <c r="O79">
        <v>143</v>
      </c>
      <c r="P79">
        <v>1</v>
      </c>
      <c r="Q79">
        <v>2</v>
      </c>
      <c r="S79">
        <v>2.5</v>
      </c>
      <c r="T79">
        <v>1</v>
      </c>
      <c r="U79">
        <v>4.4000000000000004</v>
      </c>
      <c r="V79">
        <v>1</v>
      </c>
      <c r="W79">
        <v>0.5</v>
      </c>
      <c r="X79">
        <v>2</v>
      </c>
      <c r="Y79">
        <v>2</v>
      </c>
      <c r="Z79" t="s">
        <v>80</v>
      </c>
      <c r="AA79">
        <v>0</v>
      </c>
      <c r="AB79">
        <v>0</v>
      </c>
      <c r="AC79">
        <v>9.4</v>
      </c>
      <c r="AD79" s="2">
        <v>45658.000277777799</v>
      </c>
      <c r="AE79" s="2">
        <v>45657.999340277798</v>
      </c>
      <c r="AF79">
        <v>0.51</v>
      </c>
    </row>
    <row r="80" spans="13:32" x14ac:dyDescent="0.3">
      <c r="M80">
        <v>0</v>
      </c>
      <c r="N80">
        <v>179</v>
      </c>
      <c r="O80">
        <v>162</v>
      </c>
      <c r="P80">
        <v>1</v>
      </c>
      <c r="Q80">
        <v>1</v>
      </c>
      <c r="S80">
        <v>2.5</v>
      </c>
      <c r="T80">
        <v>3.5</v>
      </c>
      <c r="U80">
        <v>23.3</v>
      </c>
      <c r="V80">
        <v>1</v>
      </c>
      <c r="W80">
        <v>0.5</v>
      </c>
      <c r="X80">
        <v>1</v>
      </c>
      <c r="Y80">
        <v>1</v>
      </c>
      <c r="Z80" t="s">
        <v>80</v>
      </c>
      <c r="AA80">
        <v>1.25</v>
      </c>
      <c r="AB80">
        <v>0</v>
      </c>
      <c r="AC80">
        <v>29.55</v>
      </c>
      <c r="AD80" s="2">
        <v>45658.013032407398</v>
      </c>
      <c r="AE80" s="2">
        <v>45657.9993287037</v>
      </c>
      <c r="AF80">
        <v>4.8</v>
      </c>
    </row>
    <row r="81" spans="13:32" x14ac:dyDescent="0.3">
      <c r="M81">
        <v>0</v>
      </c>
      <c r="N81">
        <v>263</v>
      </c>
      <c r="O81">
        <v>74</v>
      </c>
      <c r="P81">
        <v>1</v>
      </c>
      <c r="Q81">
        <v>1</v>
      </c>
      <c r="S81">
        <v>2.5</v>
      </c>
      <c r="T81">
        <v>3.5</v>
      </c>
      <c r="U81">
        <v>12.1</v>
      </c>
      <c r="V81">
        <v>1</v>
      </c>
      <c r="W81">
        <v>0.5</v>
      </c>
      <c r="X81">
        <v>1</v>
      </c>
      <c r="Y81">
        <v>1</v>
      </c>
      <c r="Z81" t="s">
        <v>80</v>
      </c>
      <c r="AA81">
        <v>2.57</v>
      </c>
      <c r="AB81">
        <v>0</v>
      </c>
      <c r="AC81">
        <v>19.670000000000002</v>
      </c>
      <c r="AD81" s="2">
        <v>45658.004675925898</v>
      </c>
      <c r="AE81" s="2">
        <v>45657.999305555597</v>
      </c>
      <c r="AF81">
        <v>2.5</v>
      </c>
    </row>
    <row r="82" spans="13:32" x14ac:dyDescent="0.3">
      <c r="M82">
        <v>1.75</v>
      </c>
      <c r="N82">
        <v>151</v>
      </c>
      <c r="O82">
        <v>132</v>
      </c>
      <c r="P82">
        <v>2</v>
      </c>
      <c r="Q82">
        <v>1</v>
      </c>
      <c r="S82">
        <v>0</v>
      </c>
      <c r="T82">
        <v>1.75</v>
      </c>
      <c r="U82">
        <v>70</v>
      </c>
      <c r="V82">
        <v>1</v>
      </c>
      <c r="W82">
        <v>0.5</v>
      </c>
      <c r="X82">
        <v>1</v>
      </c>
      <c r="Y82">
        <v>1</v>
      </c>
      <c r="Z82" t="s">
        <v>80</v>
      </c>
      <c r="AA82">
        <v>16.05</v>
      </c>
      <c r="AB82">
        <v>6.94</v>
      </c>
      <c r="AC82">
        <v>96.24</v>
      </c>
      <c r="AD82" s="2">
        <v>45658.027268518497</v>
      </c>
      <c r="AE82" s="2">
        <v>45657.999247685198</v>
      </c>
      <c r="AF82">
        <v>18.3</v>
      </c>
    </row>
    <row r="83" spans="13:32" x14ac:dyDescent="0.3">
      <c r="M83">
        <v>0</v>
      </c>
      <c r="N83">
        <v>90</v>
      </c>
      <c r="O83">
        <v>148</v>
      </c>
      <c r="P83">
        <v>1</v>
      </c>
      <c r="Q83">
        <v>1</v>
      </c>
      <c r="S83">
        <v>2.5</v>
      </c>
      <c r="T83">
        <v>3.5</v>
      </c>
      <c r="U83">
        <v>19.8</v>
      </c>
      <c r="V83">
        <v>1</v>
      </c>
      <c r="W83">
        <v>0.5</v>
      </c>
      <c r="X83">
        <v>0</v>
      </c>
      <c r="Y83">
        <v>1</v>
      </c>
      <c r="Z83" t="s">
        <v>80</v>
      </c>
      <c r="AA83">
        <v>6.2</v>
      </c>
      <c r="AB83">
        <v>0</v>
      </c>
      <c r="AC83">
        <v>31</v>
      </c>
      <c r="AD83" s="2">
        <v>45658.014675925901</v>
      </c>
      <c r="AE83" s="2">
        <v>45657.9992361111</v>
      </c>
      <c r="AF83">
        <v>2.6</v>
      </c>
    </row>
    <row r="84" spans="13:32" x14ac:dyDescent="0.3">
      <c r="M84">
        <v>0</v>
      </c>
      <c r="N84">
        <v>113</v>
      </c>
      <c r="O84">
        <v>79</v>
      </c>
      <c r="P84">
        <v>1</v>
      </c>
      <c r="Q84">
        <v>1</v>
      </c>
      <c r="S84">
        <v>2.5</v>
      </c>
      <c r="T84">
        <v>3.5</v>
      </c>
      <c r="U84">
        <v>4.4000000000000004</v>
      </c>
      <c r="V84">
        <v>1</v>
      </c>
      <c r="W84">
        <v>0.5</v>
      </c>
      <c r="X84">
        <v>1</v>
      </c>
      <c r="Y84">
        <v>1</v>
      </c>
      <c r="Z84" t="s">
        <v>80</v>
      </c>
      <c r="AA84">
        <v>2.35</v>
      </c>
      <c r="AB84">
        <v>0</v>
      </c>
      <c r="AC84">
        <v>11.75</v>
      </c>
      <c r="AD84" s="2">
        <v>45658.0005439815</v>
      </c>
      <c r="AE84" s="2">
        <v>45657.9992361111</v>
      </c>
      <c r="AF84">
        <v>0.3</v>
      </c>
    </row>
    <row r="85" spans="13:32" x14ac:dyDescent="0.3">
      <c r="M85">
        <v>0</v>
      </c>
      <c r="N85">
        <v>75</v>
      </c>
      <c r="O85">
        <v>170</v>
      </c>
      <c r="P85">
        <v>1</v>
      </c>
      <c r="Q85">
        <v>1</v>
      </c>
      <c r="S85">
        <v>2.5</v>
      </c>
      <c r="T85">
        <v>3.5</v>
      </c>
      <c r="U85">
        <v>18.399999999999999</v>
      </c>
      <c r="V85">
        <v>1</v>
      </c>
      <c r="W85">
        <v>0.5</v>
      </c>
      <c r="X85">
        <v>1</v>
      </c>
      <c r="Y85">
        <v>1</v>
      </c>
      <c r="Z85" t="s">
        <v>80</v>
      </c>
      <c r="AA85">
        <v>4.7</v>
      </c>
      <c r="AB85">
        <v>0</v>
      </c>
      <c r="AC85">
        <v>28.1</v>
      </c>
      <c r="AD85" s="2">
        <v>45658.0090740741</v>
      </c>
      <c r="AE85" s="2">
        <v>45657.9992361111</v>
      </c>
      <c r="AF85">
        <v>4</v>
      </c>
    </row>
    <row r="86" spans="13:32" x14ac:dyDescent="0.3">
      <c r="M86">
        <v>1.75</v>
      </c>
      <c r="N86">
        <v>130</v>
      </c>
      <c r="O86">
        <v>132</v>
      </c>
      <c r="P86">
        <v>1</v>
      </c>
      <c r="Q86">
        <v>2</v>
      </c>
      <c r="S86">
        <v>2.5</v>
      </c>
      <c r="T86">
        <v>1</v>
      </c>
      <c r="U86">
        <v>32.4</v>
      </c>
      <c r="V86">
        <v>1</v>
      </c>
      <c r="W86">
        <v>0.5</v>
      </c>
      <c r="X86">
        <v>1</v>
      </c>
      <c r="Y86">
        <v>2</v>
      </c>
      <c r="Z86" t="s">
        <v>80</v>
      </c>
      <c r="AA86">
        <v>0</v>
      </c>
      <c r="AB86">
        <v>0</v>
      </c>
      <c r="AC86">
        <v>39.15</v>
      </c>
      <c r="AD86" s="2">
        <v>45658.015555555598</v>
      </c>
      <c r="AE86" s="2">
        <v>45657.999224537001</v>
      </c>
      <c r="AF86">
        <v>7.06</v>
      </c>
    </row>
    <row r="87" spans="13:32" x14ac:dyDescent="0.3">
      <c r="M87">
        <v>0</v>
      </c>
      <c r="N87">
        <v>263</v>
      </c>
      <c r="O87">
        <v>233</v>
      </c>
      <c r="P87">
        <v>1</v>
      </c>
      <c r="Q87">
        <v>2</v>
      </c>
      <c r="S87">
        <v>-2.5</v>
      </c>
      <c r="T87">
        <v>-1</v>
      </c>
      <c r="U87">
        <v>-14.2</v>
      </c>
      <c r="V87">
        <v>-1</v>
      </c>
      <c r="W87">
        <v>-0.5</v>
      </c>
      <c r="X87">
        <v>1</v>
      </c>
      <c r="Y87">
        <v>4</v>
      </c>
      <c r="Z87" t="s">
        <v>80</v>
      </c>
      <c r="AA87">
        <v>0</v>
      </c>
      <c r="AB87">
        <v>0</v>
      </c>
      <c r="AC87">
        <v>-19.2</v>
      </c>
      <c r="AD87" s="2">
        <v>45658.007337962998</v>
      </c>
      <c r="AE87" s="2">
        <v>45657.999178240701</v>
      </c>
      <c r="AF87">
        <v>2.92</v>
      </c>
    </row>
    <row r="88" spans="13:32" x14ac:dyDescent="0.3">
      <c r="M88">
        <v>0</v>
      </c>
      <c r="N88">
        <v>263</v>
      </c>
      <c r="O88">
        <v>233</v>
      </c>
      <c r="P88">
        <v>1</v>
      </c>
      <c r="Q88">
        <v>2</v>
      </c>
      <c r="S88">
        <v>2.5</v>
      </c>
      <c r="T88">
        <v>1</v>
      </c>
      <c r="U88">
        <v>14.2</v>
      </c>
      <c r="V88">
        <v>1</v>
      </c>
      <c r="W88">
        <v>0.5</v>
      </c>
      <c r="X88">
        <v>1</v>
      </c>
      <c r="Y88">
        <v>4</v>
      </c>
      <c r="Z88" t="s">
        <v>80</v>
      </c>
      <c r="AA88">
        <v>0</v>
      </c>
      <c r="AB88">
        <v>0</v>
      </c>
      <c r="AC88">
        <v>19.2</v>
      </c>
      <c r="AD88" s="2">
        <v>45658.007337962998</v>
      </c>
      <c r="AE88" s="2">
        <v>45657.999178240701</v>
      </c>
      <c r="AF88">
        <v>2.92</v>
      </c>
    </row>
    <row r="89" spans="13:32" x14ac:dyDescent="0.3">
      <c r="M89">
        <v>0</v>
      </c>
      <c r="N89">
        <v>163</v>
      </c>
      <c r="O89">
        <v>148</v>
      </c>
      <c r="P89">
        <v>1</v>
      </c>
      <c r="Q89">
        <v>1</v>
      </c>
      <c r="S89">
        <v>2.5</v>
      </c>
      <c r="T89">
        <v>3.5</v>
      </c>
      <c r="U89">
        <v>33.1</v>
      </c>
      <c r="V89">
        <v>1</v>
      </c>
      <c r="W89">
        <v>0.5</v>
      </c>
      <c r="X89">
        <v>1</v>
      </c>
      <c r="Y89">
        <v>1</v>
      </c>
      <c r="Z89" t="s">
        <v>80</v>
      </c>
      <c r="AA89">
        <v>7.6</v>
      </c>
      <c r="AB89">
        <v>0</v>
      </c>
      <c r="AC89">
        <v>45.7</v>
      </c>
      <c r="AD89" s="2">
        <v>45658.026736111096</v>
      </c>
      <c r="AE89" s="2">
        <v>45657.999155092599</v>
      </c>
      <c r="AF89">
        <v>5.0999999999999996</v>
      </c>
    </row>
    <row r="90" spans="13:32" x14ac:dyDescent="0.3">
      <c r="M90">
        <v>0</v>
      </c>
      <c r="N90">
        <v>232</v>
      </c>
      <c r="O90">
        <v>148</v>
      </c>
      <c r="P90">
        <v>1</v>
      </c>
      <c r="Q90">
        <v>2</v>
      </c>
      <c r="S90">
        <v>2.5</v>
      </c>
      <c r="T90">
        <v>1</v>
      </c>
      <c r="U90">
        <v>4.4000000000000004</v>
      </c>
      <c r="V90">
        <v>1</v>
      </c>
      <c r="W90">
        <v>0.5</v>
      </c>
      <c r="X90">
        <v>1</v>
      </c>
      <c r="Y90">
        <v>1</v>
      </c>
      <c r="Z90" t="s">
        <v>80</v>
      </c>
      <c r="AA90">
        <v>1.88</v>
      </c>
      <c r="AB90">
        <v>0</v>
      </c>
      <c r="AC90">
        <v>11.28</v>
      </c>
      <c r="AD90" s="2">
        <v>45658.000416666699</v>
      </c>
      <c r="AE90" s="2">
        <v>45657.999085648204</v>
      </c>
      <c r="AF90">
        <v>0.41</v>
      </c>
    </row>
    <row r="91" spans="13:32" x14ac:dyDescent="0.3">
      <c r="M91">
        <v>1.75</v>
      </c>
      <c r="N91">
        <v>82</v>
      </c>
      <c r="O91">
        <v>138</v>
      </c>
      <c r="P91">
        <v>1</v>
      </c>
      <c r="Q91">
        <v>2</v>
      </c>
      <c r="S91">
        <v>2.5</v>
      </c>
      <c r="T91">
        <v>6</v>
      </c>
      <c r="U91">
        <v>25.4</v>
      </c>
      <c r="V91">
        <v>1</v>
      </c>
      <c r="W91">
        <v>0.5</v>
      </c>
      <c r="X91">
        <v>1</v>
      </c>
      <c r="Y91">
        <v>2</v>
      </c>
      <c r="Z91" t="s">
        <v>80</v>
      </c>
      <c r="AA91">
        <v>0</v>
      </c>
      <c r="AB91">
        <v>0</v>
      </c>
      <c r="AC91">
        <v>37.15</v>
      </c>
      <c r="AD91" s="2">
        <v>45658.006898148204</v>
      </c>
      <c r="AE91" s="2">
        <v>45657.998993055597</v>
      </c>
      <c r="AF91">
        <v>6.36</v>
      </c>
    </row>
    <row r="92" spans="13:32" x14ac:dyDescent="0.3">
      <c r="M92">
        <v>1.75</v>
      </c>
      <c r="N92">
        <v>10</v>
      </c>
      <c r="O92">
        <v>132</v>
      </c>
      <c r="P92">
        <v>1</v>
      </c>
      <c r="Q92">
        <v>2</v>
      </c>
      <c r="S92">
        <v>0</v>
      </c>
      <c r="T92">
        <v>1</v>
      </c>
      <c r="U92">
        <v>12.1</v>
      </c>
      <c r="V92">
        <v>1</v>
      </c>
      <c r="W92">
        <v>0.5</v>
      </c>
      <c r="X92">
        <v>2</v>
      </c>
      <c r="Y92">
        <v>1</v>
      </c>
      <c r="Z92" t="s">
        <v>80</v>
      </c>
      <c r="AA92">
        <v>2.94</v>
      </c>
      <c r="AB92">
        <v>0</v>
      </c>
      <c r="AC92">
        <v>19.29</v>
      </c>
      <c r="AD92" s="2">
        <v>45658.003738425898</v>
      </c>
      <c r="AE92" s="2">
        <v>45657.998981481498</v>
      </c>
      <c r="AF92">
        <v>2.52</v>
      </c>
    </row>
    <row r="93" spans="13:32" x14ac:dyDescent="0.3">
      <c r="M93">
        <v>0</v>
      </c>
      <c r="N93">
        <v>246</v>
      </c>
      <c r="O93">
        <v>158</v>
      </c>
      <c r="P93">
        <v>1</v>
      </c>
      <c r="Q93">
        <v>2</v>
      </c>
      <c r="S93">
        <v>2.5</v>
      </c>
      <c r="T93">
        <v>1</v>
      </c>
      <c r="U93">
        <v>7.9</v>
      </c>
      <c r="V93">
        <v>1</v>
      </c>
      <c r="W93">
        <v>0.5</v>
      </c>
      <c r="X93">
        <v>1</v>
      </c>
      <c r="Y93">
        <v>1</v>
      </c>
      <c r="Z93" t="s">
        <v>80</v>
      </c>
      <c r="AA93">
        <v>2.58</v>
      </c>
      <c r="AB93">
        <v>0</v>
      </c>
      <c r="AC93">
        <v>15.48</v>
      </c>
      <c r="AD93" s="2">
        <v>45658.002407407403</v>
      </c>
      <c r="AE93" s="2">
        <v>45657.998854166697</v>
      </c>
      <c r="AF93">
        <v>1.04</v>
      </c>
    </row>
    <row r="94" spans="13:32" x14ac:dyDescent="0.3">
      <c r="M94">
        <v>0</v>
      </c>
      <c r="N94">
        <v>107</v>
      </c>
      <c r="O94">
        <v>170</v>
      </c>
      <c r="P94">
        <v>1</v>
      </c>
      <c r="Q94">
        <v>2</v>
      </c>
      <c r="S94">
        <v>2.5</v>
      </c>
      <c r="T94">
        <v>1</v>
      </c>
      <c r="U94">
        <v>7.2</v>
      </c>
      <c r="V94">
        <v>1</v>
      </c>
      <c r="W94">
        <v>0.5</v>
      </c>
      <c r="X94">
        <v>2</v>
      </c>
      <c r="Y94">
        <v>1</v>
      </c>
      <c r="Z94" t="s">
        <v>80</v>
      </c>
      <c r="AA94">
        <v>2.44</v>
      </c>
      <c r="AB94">
        <v>0</v>
      </c>
      <c r="AC94">
        <v>14.64</v>
      </c>
      <c r="AD94" s="2">
        <v>45658.002395833297</v>
      </c>
      <c r="AE94" s="2">
        <v>45657.998819444401</v>
      </c>
      <c r="AF94">
        <v>1.01</v>
      </c>
    </row>
    <row r="95" spans="13:32" x14ac:dyDescent="0.3">
      <c r="M95">
        <v>1.75</v>
      </c>
      <c r="N95">
        <v>25</v>
      </c>
      <c r="O95">
        <v>132</v>
      </c>
      <c r="P95">
        <v>1</v>
      </c>
      <c r="Q95">
        <v>2</v>
      </c>
      <c r="S95">
        <v>0</v>
      </c>
      <c r="T95">
        <v>1</v>
      </c>
      <c r="U95">
        <v>77.2</v>
      </c>
      <c r="V95">
        <v>1</v>
      </c>
      <c r="W95">
        <v>0.5</v>
      </c>
      <c r="X95">
        <v>2</v>
      </c>
      <c r="Y95">
        <v>2</v>
      </c>
      <c r="Z95" t="s">
        <v>80</v>
      </c>
      <c r="AA95">
        <v>0</v>
      </c>
      <c r="AB95">
        <v>0</v>
      </c>
      <c r="AC95">
        <v>81.45</v>
      </c>
      <c r="AD95" s="2">
        <v>45658.029374999998</v>
      </c>
      <c r="AE95" s="2">
        <v>45657.998796296299</v>
      </c>
      <c r="AF95">
        <v>19.38</v>
      </c>
    </row>
    <row r="96" spans="13:32" x14ac:dyDescent="0.3">
      <c r="M96">
        <v>0</v>
      </c>
      <c r="N96">
        <v>79</v>
      </c>
      <c r="O96">
        <v>113</v>
      </c>
      <c r="P96">
        <v>1</v>
      </c>
      <c r="Q96">
        <v>2</v>
      </c>
      <c r="S96">
        <v>2.5</v>
      </c>
      <c r="T96">
        <v>1</v>
      </c>
      <c r="U96">
        <v>9.3000000000000007</v>
      </c>
      <c r="V96">
        <v>1</v>
      </c>
      <c r="W96">
        <v>0.5</v>
      </c>
      <c r="X96">
        <v>1</v>
      </c>
      <c r="Y96">
        <v>1</v>
      </c>
      <c r="Z96" t="s">
        <v>80</v>
      </c>
      <c r="AA96">
        <v>0</v>
      </c>
      <c r="AB96">
        <v>0</v>
      </c>
      <c r="AC96">
        <v>14.3</v>
      </c>
      <c r="AD96" s="2">
        <v>45658.004560185203</v>
      </c>
      <c r="AE96" s="2">
        <v>45657.9986921296</v>
      </c>
      <c r="AF96">
        <v>1.1499999999999999</v>
      </c>
    </row>
    <row r="97" spans="13:32" x14ac:dyDescent="0.3">
      <c r="M97">
        <v>0</v>
      </c>
      <c r="N97">
        <v>79</v>
      </c>
      <c r="O97">
        <v>68</v>
      </c>
      <c r="P97">
        <v>1</v>
      </c>
      <c r="Q97">
        <v>2</v>
      </c>
      <c r="S97">
        <v>2.5</v>
      </c>
      <c r="T97">
        <v>1</v>
      </c>
      <c r="U97">
        <v>12.1</v>
      </c>
      <c r="V97">
        <v>1</v>
      </c>
      <c r="W97">
        <v>0.5</v>
      </c>
      <c r="X97">
        <v>2</v>
      </c>
      <c r="Y97">
        <v>1</v>
      </c>
      <c r="Z97" t="s">
        <v>80</v>
      </c>
      <c r="AA97">
        <v>3.42</v>
      </c>
      <c r="AB97">
        <v>0</v>
      </c>
      <c r="AC97">
        <v>20.52</v>
      </c>
      <c r="AD97" s="2">
        <v>45658.006064814799</v>
      </c>
      <c r="AE97" s="2">
        <v>45657.9986921296</v>
      </c>
      <c r="AF97">
        <v>1.8</v>
      </c>
    </row>
    <row r="98" spans="13:32" x14ac:dyDescent="0.3">
      <c r="M98">
        <v>1.75</v>
      </c>
      <c r="N98">
        <v>133</v>
      </c>
      <c r="O98">
        <v>132</v>
      </c>
      <c r="P98">
        <v>1</v>
      </c>
      <c r="Q98">
        <v>2</v>
      </c>
      <c r="S98">
        <v>0</v>
      </c>
      <c r="T98">
        <v>1</v>
      </c>
      <c r="U98">
        <v>70.2</v>
      </c>
      <c r="V98">
        <v>1</v>
      </c>
      <c r="W98">
        <v>0.5</v>
      </c>
      <c r="X98">
        <v>3</v>
      </c>
      <c r="Y98">
        <v>1</v>
      </c>
      <c r="Z98" t="s">
        <v>80</v>
      </c>
      <c r="AA98">
        <v>11.17</v>
      </c>
      <c r="AB98">
        <v>0</v>
      </c>
      <c r="AC98">
        <v>85.62</v>
      </c>
      <c r="AD98" s="2">
        <v>45658.023333333302</v>
      </c>
      <c r="AE98" s="2">
        <v>45657.998645833301</v>
      </c>
      <c r="AF98">
        <v>18.46</v>
      </c>
    </row>
    <row r="99" spans="13:32" x14ac:dyDescent="0.3">
      <c r="M99">
        <v>1.75</v>
      </c>
      <c r="N99">
        <v>265</v>
      </c>
      <c r="O99">
        <v>265</v>
      </c>
      <c r="P99">
        <v>5</v>
      </c>
      <c r="Q99">
        <v>2</v>
      </c>
      <c r="S99">
        <v>0</v>
      </c>
      <c r="T99">
        <v>0</v>
      </c>
      <c r="U99">
        <v>175</v>
      </c>
      <c r="V99">
        <v>1</v>
      </c>
      <c r="W99">
        <v>0</v>
      </c>
      <c r="X99">
        <v>4</v>
      </c>
      <c r="Y99">
        <v>1</v>
      </c>
      <c r="Z99" t="s">
        <v>80</v>
      </c>
      <c r="AA99">
        <v>35.549999999999997</v>
      </c>
      <c r="AB99">
        <v>0</v>
      </c>
      <c r="AC99">
        <v>213.3</v>
      </c>
      <c r="AD99" s="2">
        <v>45658.000694444498</v>
      </c>
      <c r="AE99" s="2">
        <v>45657.998622685198</v>
      </c>
      <c r="AF99">
        <v>0</v>
      </c>
    </row>
    <row r="100" spans="13:32" x14ac:dyDescent="0.3">
      <c r="M100">
        <v>0</v>
      </c>
      <c r="N100">
        <v>90</v>
      </c>
      <c r="O100">
        <v>211</v>
      </c>
      <c r="P100">
        <v>1</v>
      </c>
      <c r="Q100">
        <v>1</v>
      </c>
      <c r="S100">
        <v>2.5</v>
      </c>
      <c r="T100">
        <v>3.5</v>
      </c>
      <c r="U100">
        <v>10</v>
      </c>
      <c r="V100">
        <v>1</v>
      </c>
      <c r="W100">
        <v>0.5</v>
      </c>
      <c r="X100">
        <v>1</v>
      </c>
      <c r="Y100">
        <v>1</v>
      </c>
      <c r="Z100" t="s">
        <v>80</v>
      </c>
      <c r="AA100">
        <v>3.75</v>
      </c>
      <c r="AB100">
        <v>0</v>
      </c>
      <c r="AC100">
        <v>18.75</v>
      </c>
      <c r="AD100" s="2">
        <v>45658.005613425899</v>
      </c>
      <c r="AE100" s="2">
        <v>45657.998587962997</v>
      </c>
      <c r="AF100">
        <v>1.2</v>
      </c>
    </row>
    <row r="101" spans="13:32" x14ac:dyDescent="0.3">
      <c r="M101">
        <v>0</v>
      </c>
      <c r="N101">
        <v>142</v>
      </c>
      <c r="O101">
        <v>163</v>
      </c>
      <c r="P101">
        <v>1</v>
      </c>
      <c r="Q101">
        <v>2</v>
      </c>
      <c r="S101">
        <v>2.5</v>
      </c>
      <c r="T101">
        <v>1</v>
      </c>
      <c r="U101">
        <v>10</v>
      </c>
      <c r="V101">
        <v>1</v>
      </c>
      <c r="W101">
        <v>0.5</v>
      </c>
      <c r="X101">
        <v>1</v>
      </c>
      <c r="Y101">
        <v>1</v>
      </c>
      <c r="Z101" t="s">
        <v>80</v>
      </c>
      <c r="AA101">
        <v>1</v>
      </c>
      <c r="AB101">
        <v>0</v>
      </c>
      <c r="AC101">
        <v>16</v>
      </c>
      <c r="AD101" s="2">
        <v>45658.005150463003</v>
      </c>
      <c r="AE101" s="2">
        <v>45657.998564814799</v>
      </c>
      <c r="AF101">
        <v>1.1200000000000001</v>
      </c>
    </row>
    <row r="102" spans="13:32" x14ac:dyDescent="0.3">
      <c r="M102">
        <v>0</v>
      </c>
      <c r="N102">
        <v>225</v>
      </c>
      <c r="O102">
        <v>132</v>
      </c>
      <c r="P102">
        <v>1</v>
      </c>
      <c r="Q102">
        <v>2</v>
      </c>
      <c r="S102">
        <v>0</v>
      </c>
      <c r="T102">
        <v>1</v>
      </c>
      <c r="U102">
        <v>39.4</v>
      </c>
      <c r="V102">
        <v>1</v>
      </c>
      <c r="W102">
        <v>0.5</v>
      </c>
      <c r="X102">
        <v>1</v>
      </c>
      <c r="Y102">
        <v>2</v>
      </c>
      <c r="Z102" t="s">
        <v>80</v>
      </c>
      <c r="AA102">
        <v>0</v>
      </c>
      <c r="AB102">
        <v>0</v>
      </c>
      <c r="AC102">
        <v>41.9</v>
      </c>
      <c r="AD102" s="2">
        <v>45658.019108796303</v>
      </c>
      <c r="AE102" s="2">
        <v>45657.998541666697</v>
      </c>
      <c r="AF102">
        <v>8.69</v>
      </c>
    </row>
    <row r="103" spans="13:32" x14ac:dyDescent="0.3">
      <c r="M103">
        <v>0</v>
      </c>
      <c r="N103">
        <v>211</v>
      </c>
      <c r="O103">
        <v>211</v>
      </c>
      <c r="P103">
        <v>1</v>
      </c>
      <c r="Q103">
        <v>2</v>
      </c>
      <c r="S103">
        <v>-2.5</v>
      </c>
      <c r="T103">
        <v>-1</v>
      </c>
      <c r="U103">
        <v>-3</v>
      </c>
      <c r="V103">
        <v>-1</v>
      </c>
      <c r="W103">
        <v>-0.5</v>
      </c>
      <c r="X103">
        <v>1</v>
      </c>
      <c r="Y103">
        <v>4</v>
      </c>
      <c r="Z103" t="s">
        <v>80</v>
      </c>
      <c r="AA103">
        <v>0</v>
      </c>
      <c r="AB103">
        <v>0</v>
      </c>
      <c r="AC103">
        <v>-8</v>
      </c>
      <c r="AD103" s="2">
        <v>45657.999224537001</v>
      </c>
      <c r="AE103" s="2">
        <v>45657.998530092598</v>
      </c>
      <c r="AF103">
        <v>0.04</v>
      </c>
    </row>
    <row r="104" spans="13:32" x14ac:dyDescent="0.3">
      <c r="M104">
        <v>0</v>
      </c>
      <c r="N104">
        <v>211</v>
      </c>
      <c r="O104">
        <v>211</v>
      </c>
      <c r="P104">
        <v>1</v>
      </c>
      <c r="Q104">
        <v>2</v>
      </c>
      <c r="S104">
        <v>2.5</v>
      </c>
      <c r="T104">
        <v>1</v>
      </c>
      <c r="U104">
        <v>3</v>
      </c>
      <c r="V104">
        <v>1</v>
      </c>
      <c r="W104">
        <v>0.5</v>
      </c>
      <c r="X104">
        <v>1</v>
      </c>
      <c r="Y104">
        <v>4</v>
      </c>
      <c r="Z104" t="s">
        <v>80</v>
      </c>
      <c r="AA104">
        <v>0</v>
      </c>
      <c r="AB104">
        <v>0</v>
      </c>
      <c r="AC104">
        <v>8</v>
      </c>
      <c r="AD104" s="2">
        <v>45657.999224537001</v>
      </c>
      <c r="AE104" s="2">
        <v>45657.998530092598</v>
      </c>
      <c r="AF104">
        <v>0.04</v>
      </c>
    </row>
    <row r="105" spans="13:32" x14ac:dyDescent="0.3">
      <c r="N105">
        <v>226</v>
      </c>
      <c r="O105">
        <v>250</v>
      </c>
      <c r="Q105">
        <v>2</v>
      </c>
      <c r="T105">
        <v>0</v>
      </c>
      <c r="U105">
        <v>-10.63</v>
      </c>
      <c r="V105">
        <v>1</v>
      </c>
      <c r="W105">
        <v>0.5</v>
      </c>
      <c r="Y105">
        <v>0</v>
      </c>
      <c r="AA105">
        <v>0</v>
      </c>
      <c r="AB105">
        <v>6.94</v>
      </c>
      <c r="AC105">
        <v>-2.19</v>
      </c>
      <c r="AD105" s="2">
        <v>45658.014432870397</v>
      </c>
      <c r="AE105" s="2">
        <v>45657.998391203699</v>
      </c>
      <c r="AF105">
        <v>13.04</v>
      </c>
    </row>
    <row r="106" spans="13:32" x14ac:dyDescent="0.3">
      <c r="M106">
        <v>0</v>
      </c>
      <c r="N106">
        <v>7</v>
      </c>
      <c r="O106">
        <v>145</v>
      </c>
      <c r="P106">
        <v>1</v>
      </c>
      <c r="Q106">
        <v>2</v>
      </c>
      <c r="S106">
        <v>0</v>
      </c>
      <c r="T106">
        <v>1</v>
      </c>
      <c r="U106">
        <v>7.9</v>
      </c>
      <c r="V106">
        <v>1</v>
      </c>
      <c r="W106">
        <v>0.5</v>
      </c>
      <c r="X106">
        <v>1</v>
      </c>
      <c r="Y106">
        <v>1</v>
      </c>
      <c r="Z106" t="s">
        <v>80</v>
      </c>
      <c r="AA106">
        <v>5</v>
      </c>
      <c r="AB106">
        <v>0</v>
      </c>
      <c r="AC106">
        <v>15.4</v>
      </c>
      <c r="AD106" s="2">
        <v>45658.002094907402</v>
      </c>
      <c r="AE106" s="2">
        <v>45657.9983333333</v>
      </c>
      <c r="AF106">
        <v>1.1200000000000001</v>
      </c>
    </row>
    <row r="107" spans="13:32" x14ac:dyDescent="0.3">
      <c r="M107">
        <v>0</v>
      </c>
      <c r="N107">
        <v>229</v>
      </c>
      <c r="O107">
        <v>234</v>
      </c>
      <c r="P107">
        <v>1</v>
      </c>
      <c r="Q107">
        <v>2</v>
      </c>
      <c r="S107">
        <v>2.5</v>
      </c>
      <c r="T107">
        <v>1</v>
      </c>
      <c r="U107">
        <v>13.5</v>
      </c>
      <c r="V107">
        <v>1</v>
      </c>
      <c r="W107">
        <v>0.5</v>
      </c>
      <c r="X107">
        <v>1</v>
      </c>
      <c r="Y107">
        <v>1</v>
      </c>
      <c r="Z107" t="s">
        <v>80</v>
      </c>
      <c r="AA107">
        <v>1.85</v>
      </c>
      <c r="AB107">
        <v>0</v>
      </c>
      <c r="AC107">
        <v>20.350000000000001</v>
      </c>
      <c r="AD107" s="2">
        <v>45658.005057870403</v>
      </c>
      <c r="AE107" s="2">
        <v>45657.998310185198</v>
      </c>
      <c r="AF107">
        <v>2.76</v>
      </c>
    </row>
    <row r="108" spans="13:32" x14ac:dyDescent="0.3">
      <c r="M108">
        <v>0</v>
      </c>
      <c r="N108">
        <v>231</v>
      </c>
      <c r="O108">
        <v>186</v>
      </c>
      <c r="P108">
        <v>1</v>
      </c>
      <c r="Q108">
        <v>1</v>
      </c>
      <c r="S108">
        <v>2.5</v>
      </c>
      <c r="T108">
        <v>3.5</v>
      </c>
      <c r="U108">
        <v>14.9</v>
      </c>
      <c r="V108">
        <v>1</v>
      </c>
      <c r="W108">
        <v>0.5</v>
      </c>
      <c r="X108">
        <v>1</v>
      </c>
      <c r="Y108">
        <v>2</v>
      </c>
      <c r="Z108" t="s">
        <v>80</v>
      </c>
      <c r="AA108">
        <v>0</v>
      </c>
      <c r="AB108">
        <v>0</v>
      </c>
      <c r="AC108">
        <v>19.899999999999999</v>
      </c>
      <c r="AD108" s="2">
        <v>45658.007581018501</v>
      </c>
      <c r="AE108" s="2">
        <v>45657.998287037</v>
      </c>
      <c r="AF108">
        <v>2.8</v>
      </c>
    </row>
    <row r="109" spans="13:32" x14ac:dyDescent="0.3">
      <c r="M109">
        <v>0</v>
      </c>
      <c r="N109">
        <v>107</v>
      </c>
      <c r="O109">
        <v>48</v>
      </c>
      <c r="P109">
        <v>1</v>
      </c>
      <c r="Q109">
        <v>2</v>
      </c>
      <c r="S109">
        <v>2.5</v>
      </c>
      <c r="T109">
        <v>1</v>
      </c>
      <c r="U109">
        <v>19.100000000000001</v>
      </c>
      <c r="V109">
        <v>1</v>
      </c>
      <c r="W109">
        <v>0.5</v>
      </c>
      <c r="X109">
        <v>1</v>
      </c>
      <c r="Y109">
        <v>1</v>
      </c>
      <c r="Z109" t="s">
        <v>80</v>
      </c>
      <c r="AA109">
        <v>3</v>
      </c>
      <c r="AB109">
        <v>0</v>
      </c>
      <c r="AC109">
        <v>27.1</v>
      </c>
      <c r="AD109" s="2">
        <v>45658.013576388897</v>
      </c>
      <c r="AE109" s="2">
        <v>45657.998240740701</v>
      </c>
      <c r="AF109">
        <v>2.0699999999999998</v>
      </c>
    </row>
    <row r="110" spans="13:32" x14ac:dyDescent="0.3">
      <c r="M110">
        <v>1.75</v>
      </c>
      <c r="N110">
        <v>145</v>
      </c>
      <c r="O110">
        <v>132</v>
      </c>
      <c r="P110">
        <v>1</v>
      </c>
      <c r="Q110">
        <v>2</v>
      </c>
      <c r="S110">
        <v>0</v>
      </c>
      <c r="T110">
        <v>1</v>
      </c>
      <c r="U110">
        <v>63.2</v>
      </c>
      <c r="V110">
        <v>1</v>
      </c>
      <c r="W110">
        <v>0.5</v>
      </c>
      <c r="X110">
        <v>3</v>
      </c>
      <c r="Y110">
        <v>2</v>
      </c>
      <c r="Z110" t="s">
        <v>80</v>
      </c>
      <c r="AA110">
        <v>0</v>
      </c>
      <c r="AB110">
        <v>0</v>
      </c>
      <c r="AC110">
        <v>67.45</v>
      </c>
      <c r="AD110" s="2">
        <v>45658.020150463002</v>
      </c>
      <c r="AE110" s="2">
        <v>45657.998217592598</v>
      </c>
      <c r="AF110">
        <v>15.99</v>
      </c>
    </row>
    <row r="111" spans="13:32" x14ac:dyDescent="0.3">
      <c r="M111">
        <v>0</v>
      </c>
      <c r="N111">
        <v>166</v>
      </c>
      <c r="O111">
        <v>142</v>
      </c>
      <c r="P111">
        <v>1</v>
      </c>
      <c r="Q111">
        <v>2</v>
      </c>
      <c r="S111">
        <v>2.5</v>
      </c>
      <c r="T111">
        <v>1</v>
      </c>
      <c r="U111">
        <v>19.100000000000001</v>
      </c>
      <c r="V111">
        <v>1</v>
      </c>
      <c r="W111">
        <v>0.5</v>
      </c>
      <c r="X111">
        <v>1</v>
      </c>
      <c r="Y111">
        <v>1</v>
      </c>
      <c r="Z111" t="s">
        <v>80</v>
      </c>
      <c r="AA111">
        <v>6.03</v>
      </c>
      <c r="AB111">
        <v>0</v>
      </c>
      <c r="AC111">
        <v>30.13</v>
      </c>
      <c r="AD111" s="2">
        <v>45658.009756944499</v>
      </c>
      <c r="AE111" s="2">
        <v>45657.998206018499</v>
      </c>
      <c r="AF111">
        <v>3.4</v>
      </c>
    </row>
    <row r="112" spans="13:32" x14ac:dyDescent="0.3">
      <c r="M112">
        <v>0</v>
      </c>
      <c r="N112">
        <v>170</v>
      </c>
      <c r="O112">
        <v>234</v>
      </c>
      <c r="P112">
        <v>1</v>
      </c>
      <c r="Q112">
        <v>2</v>
      </c>
      <c r="S112">
        <v>2.5</v>
      </c>
      <c r="T112">
        <v>1</v>
      </c>
      <c r="U112">
        <v>8.6</v>
      </c>
      <c r="V112">
        <v>1</v>
      </c>
      <c r="W112">
        <v>0.5</v>
      </c>
      <c r="X112">
        <v>1</v>
      </c>
      <c r="Y112">
        <v>2</v>
      </c>
      <c r="Z112" t="s">
        <v>80</v>
      </c>
      <c r="AA112">
        <v>0</v>
      </c>
      <c r="AB112">
        <v>0</v>
      </c>
      <c r="AC112">
        <v>13.6</v>
      </c>
      <c r="AD112" s="2">
        <v>45658.002627314803</v>
      </c>
      <c r="AE112" s="2">
        <v>45657.998206018499</v>
      </c>
      <c r="AF112">
        <v>0.96</v>
      </c>
    </row>
    <row r="113" spans="13:32" x14ac:dyDescent="0.3">
      <c r="M113">
        <v>0</v>
      </c>
      <c r="N113">
        <v>236</v>
      </c>
      <c r="O113">
        <v>263</v>
      </c>
      <c r="P113">
        <v>1</v>
      </c>
      <c r="Q113">
        <v>2</v>
      </c>
      <c r="S113">
        <v>2.5</v>
      </c>
      <c r="T113">
        <v>1</v>
      </c>
      <c r="U113">
        <v>9.3000000000000007</v>
      </c>
      <c r="V113">
        <v>1</v>
      </c>
      <c r="W113">
        <v>0.5</v>
      </c>
      <c r="X113">
        <v>1</v>
      </c>
      <c r="Y113">
        <v>1</v>
      </c>
      <c r="Z113" t="s">
        <v>80</v>
      </c>
      <c r="AA113">
        <v>1.43</v>
      </c>
      <c r="AB113">
        <v>0</v>
      </c>
      <c r="AC113">
        <v>15.73</v>
      </c>
      <c r="AD113" s="2">
        <v>45658.003715277802</v>
      </c>
      <c r="AE113" s="2">
        <v>45657.998159722199</v>
      </c>
      <c r="AF113">
        <v>1.02</v>
      </c>
    </row>
    <row r="114" spans="13:32" x14ac:dyDescent="0.3">
      <c r="M114">
        <v>0</v>
      </c>
      <c r="N114">
        <v>236</v>
      </c>
      <c r="O114">
        <v>163</v>
      </c>
      <c r="P114">
        <v>1</v>
      </c>
      <c r="Q114">
        <v>2</v>
      </c>
      <c r="S114">
        <v>-2.5</v>
      </c>
      <c r="T114">
        <v>-1</v>
      </c>
      <c r="U114">
        <v>-10</v>
      </c>
      <c r="V114">
        <v>-1</v>
      </c>
      <c r="W114">
        <v>-0.5</v>
      </c>
      <c r="X114">
        <v>1</v>
      </c>
      <c r="Y114">
        <v>4</v>
      </c>
      <c r="Z114" t="s">
        <v>80</v>
      </c>
      <c r="AA114">
        <v>0</v>
      </c>
      <c r="AB114">
        <v>0</v>
      </c>
      <c r="AC114">
        <v>-15</v>
      </c>
      <c r="AD114" s="2">
        <v>45658.002951388902</v>
      </c>
      <c r="AE114" s="2">
        <v>45657.998159722199</v>
      </c>
      <c r="AF114">
        <v>1.47</v>
      </c>
    </row>
    <row r="115" spans="13:32" x14ac:dyDescent="0.3">
      <c r="M115">
        <v>0</v>
      </c>
      <c r="N115">
        <v>236</v>
      </c>
      <c r="O115">
        <v>163</v>
      </c>
      <c r="P115">
        <v>1</v>
      </c>
      <c r="Q115">
        <v>2</v>
      </c>
      <c r="S115">
        <v>2.5</v>
      </c>
      <c r="T115">
        <v>1</v>
      </c>
      <c r="U115">
        <v>10</v>
      </c>
      <c r="V115">
        <v>1</v>
      </c>
      <c r="W115">
        <v>0.5</v>
      </c>
      <c r="X115">
        <v>1</v>
      </c>
      <c r="Y115">
        <v>4</v>
      </c>
      <c r="Z115" t="s">
        <v>80</v>
      </c>
      <c r="AA115">
        <v>0</v>
      </c>
      <c r="AB115">
        <v>0</v>
      </c>
      <c r="AC115">
        <v>15</v>
      </c>
      <c r="AD115" s="2">
        <v>45658.002951388902</v>
      </c>
      <c r="AE115" s="2">
        <v>45657.998159722199</v>
      </c>
      <c r="AF115">
        <v>1.47</v>
      </c>
    </row>
    <row r="116" spans="13:32" x14ac:dyDescent="0.3">
      <c r="M116">
        <v>0</v>
      </c>
      <c r="N116">
        <v>229</v>
      </c>
      <c r="O116">
        <v>163</v>
      </c>
      <c r="P116">
        <v>1</v>
      </c>
      <c r="Q116">
        <v>2</v>
      </c>
      <c r="S116">
        <v>2.5</v>
      </c>
      <c r="T116">
        <v>1</v>
      </c>
      <c r="U116">
        <v>19.100000000000001</v>
      </c>
      <c r="V116">
        <v>1</v>
      </c>
      <c r="W116">
        <v>0.5</v>
      </c>
      <c r="X116">
        <v>2</v>
      </c>
      <c r="Y116">
        <v>1</v>
      </c>
      <c r="Z116" t="s">
        <v>80</v>
      </c>
      <c r="AA116">
        <v>3.62</v>
      </c>
      <c r="AB116">
        <v>0</v>
      </c>
      <c r="AC116">
        <v>27.72</v>
      </c>
      <c r="AD116" s="2">
        <v>45658.012106481503</v>
      </c>
      <c r="AE116" s="2">
        <v>45657.998148148101</v>
      </c>
      <c r="AF116">
        <v>2.02</v>
      </c>
    </row>
    <row r="117" spans="13:32" x14ac:dyDescent="0.3">
      <c r="M117">
        <v>0</v>
      </c>
      <c r="N117">
        <v>162</v>
      </c>
      <c r="O117">
        <v>141</v>
      </c>
      <c r="P117">
        <v>1</v>
      </c>
      <c r="Q117">
        <v>2</v>
      </c>
      <c r="S117">
        <v>2.5</v>
      </c>
      <c r="T117">
        <v>1</v>
      </c>
      <c r="U117">
        <v>8.6</v>
      </c>
      <c r="V117">
        <v>1</v>
      </c>
      <c r="W117">
        <v>0.5</v>
      </c>
      <c r="X117">
        <v>2</v>
      </c>
      <c r="Y117">
        <v>1</v>
      </c>
      <c r="Z117" t="s">
        <v>80</v>
      </c>
      <c r="AA117">
        <v>2.72</v>
      </c>
      <c r="AB117">
        <v>0</v>
      </c>
      <c r="AC117">
        <v>16.32</v>
      </c>
      <c r="AD117" s="2">
        <v>45658.0021180556</v>
      </c>
      <c r="AE117" s="2">
        <v>45657.998101851903</v>
      </c>
      <c r="AF117">
        <v>1.55</v>
      </c>
    </row>
    <row r="118" spans="13:32" x14ac:dyDescent="0.3">
      <c r="M118">
        <v>0</v>
      </c>
      <c r="N118">
        <v>234</v>
      </c>
      <c r="O118">
        <v>90</v>
      </c>
      <c r="P118">
        <v>1</v>
      </c>
      <c r="Q118">
        <v>2</v>
      </c>
      <c r="S118">
        <v>2.5</v>
      </c>
      <c r="T118">
        <v>1</v>
      </c>
      <c r="U118">
        <v>5.8</v>
      </c>
      <c r="V118">
        <v>1</v>
      </c>
      <c r="W118">
        <v>0.5</v>
      </c>
      <c r="X118">
        <v>1</v>
      </c>
      <c r="Y118">
        <v>1</v>
      </c>
      <c r="Z118" t="s">
        <v>80</v>
      </c>
      <c r="AA118">
        <v>2.16</v>
      </c>
      <c r="AB118">
        <v>0</v>
      </c>
      <c r="AC118">
        <v>12.96</v>
      </c>
      <c r="AD118" s="2">
        <v>45658.0002662037</v>
      </c>
      <c r="AE118" s="2">
        <v>45657.9980208333</v>
      </c>
      <c r="AF118">
        <v>0.61</v>
      </c>
    </row>
    <row r="119" spans="13:32" x14ac:dyDescent="0.3">
      <c r="M119">
        <v>0</v>
      </c>
      <c r="N119">
        <v>246</v>
      </c>
      <c r="O119">
        <v>144</v>
      </c>
      <c r="P119">
        <v>1</v>
      </c>
      <c r="Q119">
        <v>1</v>
      </c>
      <c r="S119">
        <v>2.5</v>
      </c>
      <c r="T119">
        <v>3.5</v>
      </c>
      <c r="U119">
        <v>15.6</v>
      </c>
      <c r="V119">
        <v>1</v>
      </c>
      <c r="W119">
        <v>0.5</v>
      </c>
      <c r="X119">
        <v>1</v>
      </c>
      <c r="Y119">
        <v>1</v>
      </c>
      <c r="Z119" t="s">
        <v>80</v>
      </c>
      <c r="AA119">
        <v>4.0999999999999996</v>
      </c>
      <c r="AB119">
        <v>0</v>
      </c>
      <c r="AC119">
        <v>24.7</v>
      </c>
      <c r="AD119" s="2">
        <v>45658.007615740702</v>
      </c>
      <c r="AE119" s="2">
        <v>45657.997962963003</v>
      </c>
      <c r="AF119">
        <v>2.8</v>
      </c>
    </row>
    <row r="120" spans="13:32" x14ac:dyDescent="0.3">
      <c r="M120">
        <v>0</v>
      </c>
      <c r="N120">
        <v>50</v>
      </c>
      <c r="O120">
        <v>107</v>
      </c>
      <c r="P120">
        <v>1</v>
      </c>
      <c r="Q120">
        <v>2</v>
      </c>
      <c r="S120">
        <v>2.5</v>
      </c>
      <c r="T120">
        <v>1</v>
      </c>
      <c r="U120">
        <v>24</v>
      </c>
      <c r="V120">
        <v>1</v>
      </c>
      <c r="W120">
        <v>0.5</v>
      </c>
      <c r="X120">
        <v>1</v>
      </c>
      <c r="Y120">
        <v>1</v>
      </c>
      <c r="Z120" t="s">
        <v>80</v>
      </c>
      <c r="AA120">
        <v>5.8</v>
      </c>
      <c r="AB120">
        <v>0</v>
      </c>
      <c r="AC120">
        <v>34.799999999999997</v>
      </c>
      <c r="AD120" s="2">
        <v>45658.014189814799</v>
      </c>
      <c r="AE120" s="2">
        <v>45657.997916666704</v>
      </c>
      <c r="AF120">
        <v>3.89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Q1_Count</vt:lpstr>
      <vt:lpstr>Q2_SumAvg</vt:lpstr>
      <vt:lpstr>Q3_YearAgg</vt:lpstr>
      <vt:lpstr>Q4_HourDist</vt:lpstr>
      <vt:lpstr>Q5_FilterComplex</vt:lpstr>
      <vt:lpstr>Q6_TimeRange</vt:lpstr>
      <vt:lpstr>Q7_PaymentType</vt:lpstr>
      <vt:lpstr>Q8_JoinBorough</vt:lpstr>
      <vt:lpstr>Q9_JoinBothZones</vt:lpstr>
      <vt:lpstr>Q10_FullFilter</vt:lpstr>
      <vt:lpstr>Q11_SortLimit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Jemal Samba</cp:lastModifiedBy>
  <cp:revision>1</cp:revision>
  <dcterms:created xsi:type="dcterms:W3CDTF">2025-12-01T19:45:57Z</dcterms:created>
  <dcterms:modified xsi:type="dcterms:W3CDTF">2025-12-09T00:08:26Z</dcterms:modified>
  <dc:language>en-US</dc:language>
</cp:coreProperties>
</file>